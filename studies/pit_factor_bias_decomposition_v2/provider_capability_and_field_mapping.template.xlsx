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featurePropertyBag/featurePropertyBag.xml" ContentType="application/vnd.ms-excel.featurepropertybag+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Override PartName="/xl/worksheets/sheet5.xml" ContentType="application/vnd.openxmlformats-officedocument.spreadsheetml.worksheet+xml"/>
  <Override PartName="/xl/tables/table4.xml" ContentType="application/vnd.openxmlformats-officedocument.spreadsheetml.table+xml"/>
  <Override PartName="/xl/worksheets/sheet6.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542178affc4841fb" /></Relationships>
</file>

<file path=xl/workbook.xml><?xml version="1.0" encoding="utf-8"?>
<x:workbook xmlns:x="http://schemas.openxmlformats.org/spreadsheetml/2006/main">
  <x:sheets>
    <x:sheet xmlns:r="http://schemas.openxmlformats.org/officeDocument/2006/relationships" name="Summary" sheetId="1" r:id="R9cbed441cf094245"/>
    <x:sheet xmlns:r="http://schemas.openxmlformats.org/officeDocument/2006/relationships" name="Capability Mapping" sheetId="2" r:id="Re647401d68124db1"/>
    <x:sheet xmlns:r="http://schemas.openxmlformats.org/officeDocument/2006/relationships" name="Rights Confirmation" sheetId="3" r:id="Rf14c9efe795a4187"/>
    <x:sheet xmlns:r="http://schemas.openxmlformats.org/officeDocument/2006/relationships" name="Private Delivery" sheetId="4" r:id="Rdefe9e5ef7ba4272"/>
    <x:sheet xmlns:r="http://schemas.openxmlformats.org/officeDocument/2006/relationships" name="Source Evidence" sheetId="5" r:id="R47bed88a92f04c36"/>
    <x:sheet xmlns:r="http://schemas.openxmlformats.org/officeDocument/2006/relationships" name="Read Me" sheetId="6" r:id="Ra73dbb391c594ba2"/>
  </x:sheets>
</x:workbook>
</file>

<file path=xl/sharedStrings.xml><?xml version="1.0" encoding="utf-8"?>
<x:sst xmlns:x="http://schemas.openxmlformats.org/spreadsheetml/2006/main"/>
</file>

<file path=xl/styles.xml><?xml version="1.0" encoding="utf-8"?>
<x:styleSheet xmlns:x="http://schemas.openxmlformats.org/spreadsheetml/2006/main">
  <x:numFmts count="4">
    <x:numFmt numFmtId="200" formatCode="yyyy-mm-dd"/>
    <x:numFmt numFmtId="201" formatCode="yyyy-mm-dd hh:mm"/>
    <x:numFmt numFmtId="202" formatCode="#,##0"/>
    <x:numFmt numFmtId="203" formatCode="@"/>
  </x:numFmts>
  <x:fonts count="10">
    <x:font>
      <x:sz val="11"/>
      <x:name val="Carlito"/>
    </x:font>
    <x:font>
      <x:b/>
      <x:sz val="16"/>
      <x:color rgb="FFFFFFFF"/>
      <x:name val="Carlito"/>
    </x:font>
    <x:font>
      <x:b/>
      <x:sz val="11"/>
      <x:color rgb="FF18324A"/>
      <x:name val="Carlito"/>
    </x:font>
    <x:font>
      <x:b/>
      <x:sz val="11"/>
      <x:color rgb="FFFFFFFF"/>
      <x:name val="Carlito"/>
    </x:font>
    <x:font>
      <x:sz val="10"/>
      <x:color rgb="FF1F2933"/>
      <x:name val="Carlito"/>
    </x:font>
    <x:font>
      <x:b/>
      <x:sz val="15"/>
      <x:color rgb="FFFFFFFF"/>
      <x:name val="Carlito"/>
    </x:font>
    <x:font>
      <x:b/>
      <x:sz val="9"/>
      <x:color rgb="FFFFFFFF"/>
      <x:name val="Carlito"/>
    </x:font>
    <x:font>
      <x:sz val="9"/>
      <x:color rgb="FF263746"/>
      <x:name val="Carlito"/>
    </x:font>
    <x:font>
      <x:sz val="9"/>
      <x:color rgb="FF52616F"/>
      <x:name val="Carlito"/>
    </x:font>
    <x:font>
      <x:sz val="10"/>
      <x:name val="Carlito"/>
    </x:font>
  </x:fonts>
  <x:fills count="17">
    <x:fill>
      <x:patternFill patternType="none"/>
    </x:fill>
    <x:fill>
      <x:patternFill patternType="gray125"/>
    </x:fill>
    <x:fill>
      <x:patternFill patternType="solid">
        <x:fgColor rgb="FF18324A"/>
      </x:patternFill>
    </x:fill>
    <x:fill>
      <x:patternFill patternType="solid">
        <x:fgColor rgb="FFEAF1F8"/>
      </x:patternFill>
    </x:fill>
    <x:fill>
      <x:patternFill patternType="solid">
        <x:fgColor rgb="FF0F766E"/>
      </x:patternFill>
    </x:fill>
    <x:fill>
      <x:patternFill patternType="solid">
        <x:fgColor rgb="FF18324A"/>
      </x:patternFill>
    </x:fill>
    <x:fill>
      <x:patternFill patternType="solid">
        <x:fgColor rgb="FF0F766E"/>
      </x:patternFill>
    </x:fill>
    <x:fill>
      <x:patternFill patternType="solid">
        <x:fgColor rgb="FF17344D"/>
      </x:patternFill>
    </x:fill>
    <x:fill>
      <x:patternFill patternType="solid">
        <x:fgColor rgb="FF0F7F78"/>
      </x:patternFill>
    </x:fill>
    <x:fill>
      <x:patternFill patternType="solid">
        <x:fgColor rgb="FFC6E8F4"/>
      </x:patternFill>
    </x:fill>
    <x:fill>
      <x:patternFill patternType="solid">
        <x:fgColor rgb="FFE8EEF3"/>
      </x:patternFill>
    </x:fill>
    <x:fill>
      <x:patternFill patternType="solid">
        <x:fgColor rgb="FFFFFFFF"/>
      </x:patternFill>
    </x:fill>
    <x:fill>
      <x:patternFill patternType="solid">
        <x:fgColor rgb="FF17344D"/>
      </x:patternFill>
    </x:fill>
    <x:fill>
      <x:patternFill patternType="solid">
        <x:fgColor rgb="FF0F7F78"/>
      </x:patternFill>
    </x:fill>
    <x:fill>
      <x:patternFill patternType="solid">
        <x:fgColor rgb="FFC6E8F4"/>
      </x:patternFill>
    </x:fill>
    <x:fill>
      <x:patternFill patternType="solid">
        <x:fgColor rgb="FFE8EEF3"/>
      </x:patternFill>
    </x:fill>
    <x:fill>
      <x:patternFill patternType="solid">
        <x:fgColor rgb="FFFFFFFF"/>
      </x:patternFill>
    </x:fill>
  </x:fills>
  <x:borders count="23">
    <x:border/>
    <x:border>
      <x:left style="thin">
        <x:color rgb="FFCBD5E1"/>
      </x:left>
      <x:top style="thin">
        <x:color rgb="FFCBD5E1"/>
      </x:top>
    </x:border>
    <x:border>
      <x:right style="thin">
        <x:color rgb="FFCBD5E1"/>
      </x:right>
      <x:top style="thin">
        <x:color rgb="FFCBD5E1"/>
      </x:top>
    </x:border>
    <x:border>
      <x:left style="thin">
        <x:color rgb="FFCBD5E1"/>
      </x:left>
    </x:border>
    <x:border>
      <x:right style="thin">
        <x:color rgb="FFCBD5E1"/>
      </x:right>
    </x:border>
    <x:border>
      <x:left style="thin">
        <x:color rgb="FFCBD5E1"/>
      </x:left>
      <x:bottom style="thin">
        <x:color rgb="FFCBD5E1"/>
      </x:bottom>
    </x:border>
    <x:border>
      <x:right style="thin">
        <x:color rgb="FFCBD5E1"/>
      </x:right>
      <x:bottom style="thin">
        <x:color rgb="FFCBD5E1"/>
      </x:bottom>
    </x:border>
    <x:border>
      <x:left style="thin">
        <x:color rgb="FFCBD5E1"/>
      </x:left>
      <x:top style="thin">
        <x:color rgb="FFCBD5E1"/>
      </x:top>
      <x:bottom style="thin">
        <x:color rgb="FFCBD5E1"/>
      </x:bottom>
    </x:border>
    <x:border>
      <x:top style="thin">
        <x:color rgb="FFCBD5E1"/>
      </x:top>
      <x:bottom style="thin">
        <x:color rgb="FFCBD5E1"/>
      </x:bottom>
    </x:border>
    <x:border>
      <x:right style="thin">
        <x:color rgb="FFCBD5E1"/>
      </x:right>
      <x:top style="thin">
        <x:color rgb="FFCBD5E1"/>
      </x:top>
      <x:bottom style="thin">
        <x:color rgb="FFCBD5E1"/>
      </x:bottom>
    </x:border>
    <x:border>
      <x:bottom style="thin">
        <x:color rgb="FFE2E8F0"/>
      </x:bottom>
    </x:border>
    <x:border>
      <x:top style="thin">
        <x:color rgb="FFE2E8F0"/>
      </x:top>
      <x:bottom style="thin">
        <x:color rgb="FFE2E8F0"/>
      </x:bottom>
    </x:border>
    <x:border>
      <x:top style="thin">
        <x:color rgb="FFE2E8F0"/>
      </x:top>
      <x:bottom style="thin">
        <x:color rgb="FFCBD5E1"/>
      </x:bottom>
    </x:border>
    <x:border>
      <x:top style="thin">
        <x:color rgb="FFCBD5E1"/>
      </x:top>
    </x:border>
    <x:border>
      <x:bottom style="thin">
        <x:color rgb="FFCBD5E1"/>
      </x:bottom>
    </x:border>
    <x:border>
      <x:left style="medium">
        <x:color rgb="FF18324A"/>
      </x:left>
      <x:top style="medium">
        <x:color rgb="FF18324A"/>
      </x:top>
      <x:bottom style="medium">
        <x:color rgb="FF18324A"/>
      </x:bottom>
    </x:border>
    <x:border>
      <x:top style="medium">
        <x:color rgb="FF18324A"/>
      </x:top>
      <x:bottom style="medium">
        <x:color rgb="FF18324A"/>
      </x:bottom>
    </x:border>
    <x:border>
      <x:right style="medium">
        <x:color rgb="FF18324A"/>
      </x:right>
      <x:top style="medium">
        <x:color rgb="FF18324A"/>
      </x:top>
      <x:bottom style="medium">
        <x:color rgb="FF18324A"/>
      </x:bottom>
    </x:border>
    <x:border>
      <x:left style="thin">
        <x:color rgb="FFCBD5E1"/>
      </x:left>
      <x:right style="thin">
        <x:color rgb="FFCBD5E1"/>
      </x:right>
      <x:top style="thin">
        <x:color rgb="FFCBD5E1"/>
      </x:top>
      <x:bottom style="thin">
        <x:color rgb="FFCBD5E1"/>
      </x:bottom>
    </x:border>
    <x:border>
      <x:left style="thin">
        <x:color rgb="FFB7C8D6"/>
      </x:left>
      <x:top style="thin">
        <x:color rgb="FFB7C8D6"/>
      </x:top>
      <x:bottom style="thin">
        <x:color rgb="FFB7C8D6"/>
      </x:bottom>
    </x:border>
    <x:border>
      <x:top style="thin">
        <x:color rgb="FFB7C8D6"/>
      </x:top>
      <x:bottom style="thin">
        <x:color rgb="FFB7C8D6"/>
      </x:bottom>
    </x:border>
    <x:border>
      <x:right style="thin">
        <x:color rgb="FFB7C8D6"/>
      </x:right>
      <x:top style="thin">
        <x:color rgb="FFB7C8D6"/>
      </x:top>
      <x:bottom style="thin">
        <x:color rgb="FFB7C8D6"/>
      </x:bottom>
    </x:border>
    <x:border>
      <x:bottom style="thin">
        <x:color rgb="FFB7C8D6"/>
      </x:bottom>
    </x:border>
  </x:borders>
  <x:cellStyleXfs count="1">
    <x:xf numFmtId="0" fontId="0" fillId="0" borderId="0"/>
  </x:cellStyleXfs>
  <x:cellXfs count="206">
    <x:xf numFmtId="0" fontId="0" fillId="0" borderId="0" xfId="0"/>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horizontal="left"/>
    </x:xf>
    <x:xf numFmtId="0" fontId="1" fillId="2" borderId="0" xfId="0" applyNumberFormat="1" applyFont="1" applyFill="1" applyBorder="1" applyAlignment="1">
      <x:alignment horizontal="left" vertical="center"/>
    </x:xf>
    <x:xf numFmtId="0" fontId="0" fillId="3" borderId="0" xfId="0" applyNumberFormat="1" applyFont="1" applyFill="1" applyBorder="1"/>
    <x:xf numFmtId="0" fontId="2" fillId="3" borderId="0" xfId="0" applyNumberFormat="1" applyFont="1" applyFill="1" applyBorder="1"/>
    <x:xf numFmtId="0" fontId="2" fillId="3" borderId="0" xfId="0" applyNumberFormat="1" applyFont="1" applyFill="1" applyBorder="1" applyAlignment="1">
      <x:alignment vertical="top"/>
    </x:xf>
    <x:xf numFmtId="0" fontId="2" fillId="3" borderId="0" xfId="0" applyNumberFormat="1" applyFont="1" applyFill="1" applyBorder="1" applyAlignment="1">
      <x:alignment vertical="top" wrapText="1"/>
    </x:xf>
    <x:xf numFmtId="0" fontId="0" fillId="0" borderId="0" xfId="0" applyNumberFormat="1" applyFont="1" applyFill="1" applyBorder="1" applyAlignment="1">
      <x:alignment wrapText="1"/>
    </x:xf>
    <x:xf numFmtId="0" fontId="2" fillId="3" borderId="1" xfId="0" applyNumberFormat="1" applyFont="1" applyFill="1" applyBorder="1" applyAlignment="1">
      <x:alignment vertical="top" wrapText="1"/>
    </x:xf>
    <x:xf numFmtId="0" fontId="0" fillId="0" borderId="2" xfId="0" applyNumberFormat="1" applyFont="1" applyFill="1" applyBorder="1" applyAlignment="1">
      <x:alignment wrapText="1"/>
    </x:xf>
    <x:xf numFmtId="0" fontId="2" fillId="3" borderId="3" xfId="0" applyNumberFormat="1" applyFont="1" applyFill="1" applyBorder="1" applyAlignment="1">
      <x:alignment vertical="top" wrapText="1"/>
    </x:xf>
    <x:xf numFmtId="0" fontId="0" fillId="0" borderId="4" xfId="0" applyNumberFormat="1" applyFont="1" applyFill="1" applyBorder="1" applyAlignment="1">
      <x:alignment wrapText="1"/>
    </x:xf>
    <x:xf numFmtId="0" fontId="2" fillId="3" borderId="5" xfId="0" applyNumberFormat="1" applyFont="1" applyFill="1" applyBorder="1" applyAlignment="1">
      <x:alignment vertical="top" wrapText="1"/>
    </x:xf>
    <x:xf numFmtId="0" fontId="0" fillId="0" borderId="6" xfId="0" applyNumberFormat="1" applyFont="1" applyFill="1" applyBorder="1" applyAlignment="1">
      <x:alignment wrapText="1"/>
    </x:xf>
    <x:xf numFmtId="0" fontId="0" fillId="4" borderId="0" xfId="0" applyNumberFormat="1" applyFont="1" applyFill="1" applyBorder="1"/>
    <x:xf numFmtId="0" fontId="3" fillId="4" borderId="0" xfId="0" applyNumberFormat="1" applyFont="1" applyFill="1" applyBorder="1"/>
    <x:xf numFmtId="0" fontId="3" fillId="4" borderId="7" xfId="0" applyNumberFormat="1" applyFont="1" applyFill="1" applyBorder="1"/>
    <x:xf numFmtId="0" fontId="3" fillId="4" borderId="8" xfId="0" applyNumberFormat="1" applyFont="1" applyFill="1" applyBorder="1"/>
    <x:xf numFmtId="0" fontId="3" fillId="4" borderId="9" xfId="0" applyNumberFormat="1" applyFont="1" applyFill="1" applyBorder="1"/>
    <x:xf numFmtId="0" fontId="3" fillId="4" borderId="7" xfId="0" applyNumberFormat="1" applyFont="1" applyFill="1" applyBorder="1" applyAlignment="1">
      <x:alignment wrapText="1"/>
    </x:xf>
    <x:xf numFmtId="0" fontId="3" fillId="4" borderId="8" xfId="0" applyNumberFormat="1" applyFont="1" applyFill="1" applyBorder="1" applyAlignment="1">
      <x:alignment wrapText="1"/>
    </x:xf>
    <x:xf numFmtId="0" fontId="3" fillId="4" borderId="9" xfId="0" applyNumberFormat="1" applyFont="1" applyFill="1" applyBorder="1" applyAlignment="1">
      <x:alignment wrapText="1"/>
    </x:xf>
    <x:xf numFmtId="0" fontId="3" fillId="4" borderId="7" xfId="0" applyNumberFormat="1" applyFont="1" applyFill="1" applyBorder="1" applyAlignment="1">
      <x:alignment horizontal="left" wrapText="1"/>
    </x:xf>
    <x:xf numFmtId="0" fontId="3" fillId="4" borderId="8" xfId="0" applyNumberFormat="1" applyFont="1" applyFill="1" applyBorder="1" applyAlignment="1">
      <x:alignment horizontal="left" wrapText="1"/>
    </x:xf>
    <x:xf numFmtId="0" fontId="3" fillId="4" borderId="9" xfId="0" applyNumberFormat="1" applyFont="1" applyFill="1" applyBorder="1" applyAlignment="1">
      <x:alignment horizontal="left" wrapText="1"/>
    </x:xf>
    <x:xf numFmtId="0" fontId="3" fillId="4" borderId="7" xfId="0" applyNumberFormat="1" applyFont="1" applyFill="1" applyBorder="1" applyAlignment="1">
      <x:alignment horizontal="left" vertical="center" wrapText="1"/>
    </x:xf>
    <x:xf numFmtId="0" fontId="3" fillId="4" borderId="8" xfId="0" applyNumberFormat="1" applyFont="1" applyFill="1" applyBorder="1" applyAlignment="1">
      <x:alignment horizontal="left" vertical="center" wrapText="1"/>
    </x:xf>
    <x:xf numFmtId="0" fontId="3" fillId="4" borderId="9" xfId="0" applyNumberFormat="1" applyFont="1" applyFill="1" applyBorder="1" applyAlignment="1">
      <x:alignment horizontal="left" vertical="center" wrapText="1"/>
    </x:xf>
    <x:xf numFmtId="200" fontId="0" fillId="0" borderId="0" xfId="0" applyNumberFormat="1" applyFont="1" applyFill="1" applyBorder="1"/>
    <x:xf numFmtId="0" fontId="4" fillId="0" borderId="0" xfId="0" applyNumberFormat="1" applyFont="1" applyFill="1" applyBorder="1"/>
    <x:xf numFmtId="200" fontId="4" fillId="0" borderId="0" xfId="0" applyNumberFormat="1" applyFont="1" applyFill="1" applyBorder="1"/>
    <x:xf numFmtId="0" fontId="4" fillId="0" borderId="10" xfId="0" applyNumberFormat="1" applyFont="1" applyFill="1" applyBorder="1"/>
    <x:xf numFmtId="200" fontId="4" fillId="0" borderId="10" xfId="0" applyNumberFormat="1" applyFont="1" applyFill="1" applyBorder="1"/>
    <x:xf numFmtId="0" fontId="4" fillId="0" borderId="11" xfId="0" applyNumberFormat="1" applyFont="1" applyFill="1" applyBorder="1"/>
    <x:xf numFmtId="200" fontId="4" fillId="0" borderId="11" xfId="0" applyNumberFormat="1" applyFont="1" applyFill="1" applyBorder="1"/>
    <x:xf numFmtId="0" fontId="4" fillId="0" borderId="12" xfId="0" applyNumberFormat="1" applyFont="1" applyFill="1" applyBorder="1"/>
    <x:xf numFmtId="200" fontId="4" fillId="0" borderId="12" xfId="0" applyNumberFormat="1" applyFont="1" applyFill="1" applyBorder="1"/>
    <x:xf numFmtId="0" fontId="4" fillId="0" borderId="10" xfId="0" applyNumberFormat="1" applyFont="1" applyFill="1" applyBorder="1" applyAlignment="1">
      <x:alignment wrapText="1"/>
    </x:xf>
    <x:xf numFmtId="200" fontId="4" fillId="0" borderId="10" xfId="0" applyNumberFormat="1" applyFont="1" applyFill="1" applyBorder="1" applyAlignment="1">
      <x:alignment wrapText="1"/>
    </x:xf>
    <x:xf numFmtId="0" fontId="4" fillId="0" borderId="11" xfId="0" applyNumberFormat="1" applyFont="1" applyFill="1" applyBorder="1" applyAlignment="1">
      <x:alignment wrapText="1"/>
    </x:xf>
    <x:xf numFmtId="200" fontId="4" fillId="0" borderId="11" xfId="0" applyNumberFormat="1" applyFont="1" applyFill="1" applyBorder="1" applyAlignment="1">
      <x:alignment wrapText="1"/>
    </x:xf>
    <x:xf numFmtId="0" fontId="4" fillId="0" borderId="12" xfId="0" applyNumberFormat="1" applyFont="1" applyFill="1" applyBorder="1" applyAlignment="1">
      <x:alignment wrapText="1"/>
    </x:xf>
    <x:xf numFmtId="200" fontId="4" fillId="0" borderId="12" xfId="0" applyNumberFormat="1" applyFont="1" applyFill="1" applyBorder="1" applyAlignment="1">
      <x:alignment wrapText="1"/>
    </x:xf>
    <x:xf numFmtId="0" fontId="4" fillId="0" borderId="10" xfId="0" applyNumberFormat="1" applyFont="1" applyFill="1" applyBorder="1" applyAlignment="1">
      <x:alignment vertical="top" wrapText="1"/>
    </x:xf>
    <x:xf numFmtId="200" fontId="4" fillId="0" borderId="10" xfId="0" applyNumberFormat="1" applyFont="1" applyFill="1" applyBorder="1" applyAlignment="1">
      <x:alignment vertical="top" wrapText="1"/>
    </x:xf>
    <x:xf numFmtId="0" fontId="4" fillId="0" borderId="11" xfId="0" applyNumberFormat="1" applyFont="1" applyFill="1" applyBorder="1" applyAlignment="1">
      <x:alignment vertical="top" wrapText="1"/>
    </x:xf>
    <x:xf numFmtId="200" fontId="4" fillId="0" borderId="11" xfId="0" applyNumberFormat="1" applyFont="1" applyFill="1" applyBorder="1" applyAlignment="1">
      <x:alignment vertical="top" wrapText="1"/>
    </x:xf>
    <x:xf numFmtId="0" fontId="4" fillId="0" borderId="12" xfId="0" applyNumberFormat="1" applyFont="1" applyFill="1" applyBorder="1" applyAlignment="1">
      <x:alignment vertical="top" wrapText="1"/>
    </x:xf>
    <x:xf numFmtId="200" fontId="4" fillId="0" borderId="12" xfId="0" applyNumberFormat="1" applyFont="1" applyFill="1" applyBorder="1" applyAlignment="1">
      <x:alignment vertical="top" wrapText="1"/>
    </x:xf>
    <x:xf numFmtId="0" fontId="4" fillId="0" borderId="10" xfId="0" applyNumberFormat="1" applyFont="1" applyFill="1" applyBorder="1" applyAlignment="1">
      <x:alignment horizontal="center" vertical="top" wrapText="1"/>
    </x:xf>
    <x:xf numFmtId="0" fontId="4" fillId="0" borderId="11" xfId="0" applyNumberFormat="1" applyFont="1" applyFill="1" applyBorder="1" applyAlignment="1">
      <x:alignment horizontal="center" vertical="top" wrapText="1"/>
    </x:xf>
    <x:xf numFmtId="0" fontId="4" fillId="0" borderId="12" xfId="0" applyNumberFormat="1" applyFont="1" applyFill="1" applyBorder="1" applyAlignment="1">
      <x:alignment horizontal="center" vertical="top" wrapText="1"/>
    </x:xf>
    <x:xf numFmtId="201" fontId="0" fillId="0" borderId="0" xfId="0" applyNumberFormat="1" applyFont="1" applyFill="1" applyBorder="1"/>
    <x:xf numFmtId="202" fontId="0" fillId="0" borderId="0" xfId="0" applyNumberFormat="1" applyFont="1" applyFill="1" applyBorder="1"/>
    <x:xf numFmtId="202" fontId="4" fillId="0" borderId="0" xfId="0" applyNumberFormat="1" applyFont="1" applyFill="1" applyBorder="1"/>
    <x:xf numFmtId="201" fontId="4" fillId="0" borderId="0" xfId="0" applyNumberFormat="1" applyFont="1" applyFill="1" applyBorder="1"/>
    <x:xf numFmtId="202" fontId="4" fillId="0" borderId="10" xfId="0" applyNumberFormat="1" applyFont="1" applyFill="1" applyBorder="1"/>
    <x:xf numFmtId="201" fontId="4" fillId="0" borderId="10" xfId="0" applyNumberFormat="1" applyFont="1" applyFill="1" applyBorder="1"/>
    <x:xf numFmtId="202" fontId="4" fillId="0" borderId="11" xfId="0" applyNumberFormat="1" applyFont="1" applyFill="1" applyBorder="1"/>
    <x:xf numFmtId="201" fontId="4" fillId="0" borderId="11" xfId="0" applyNumberFormat="1" applyFont="1" applyFill="1" applyBorder="1"/>
    <x:xf numFmtId="202" fontId="4" fillId="0" borderId="12" xfId="0" applyNumberFormat="1" applyFont="1" applyFill="1" applyBorder="1"/>
    <x:xf numFmtId="201" fontId="4" fillId="0" borderId="12" xfId="0" applyNumberFormat="1" applyFont="1" applyFill="1" applyBorder="1"/>
    <x:xf numFmtId="202" fontId="4" fillId="0" borderId="10" xfId="0" applyNumberFormat="1" applyFont="1" applyFill="1" applyBorder="1" applyAlignment="1">
      <x:alignment wrapText="1"/>
    </x:xf>
    <x:xf numFmtId="201" fontId="4" fillId="0" borderId="10" xfId="0" applyNumberFormat="1" applyFont="1" applyFill="1" applyBorder="1" applyAlignment="1">
      <x:alignment wrapText="1"/>
    </x:xf>
    <x:xf numFmtId="202" fontId="4" fillId="0" borderId="11" xfId="0" applyNumberFormat="1" applyFont="1" applyFill="1" applyBorder="1" applyAlignment="1">
      <x:alignment wrapText="1"/>
    </x:xf>
    <x:xf numFmtId="201" fontId="4" fillId="0" borderId="11" xfId="0" applyNumberFormat="1" applyFont="1" applyFill="1" applyBorder="1" applyAlignment="1">
      <x:alignment wrapText="1"/>
    </x:xf>
    <x:xf numFmtId="202" fontId="4" fillId="0" borderId="12" xfId="0" applyNumberFormat="1" applyFont="1" applyFill="1" applyBorder="1" applyAlignment="1">
      <x:alignment wrapText="1"/>
    </x:xf>
    <x:xf numFmtId="201" fontId="4" fillId="0" borderId="12" xfId="0" applyNumberFormat="1" applyFont="1" applyFill="1" applyBorder="1" applyAlignment="1">
      <x:alignment wrapText="1"/>
    </x:xf>
    <x:xf numFmtId="202" fontId="4" fillId="0" borderId="10" xfId="0" applyNumberFormat="1" applyFont="1" applyFill="1" applyBorder="1" applyAlignment="1">
      <x:alignment vertical="top" wrapText="1"/>
    </x:xf>
    <x:xf numFmtId="201" fontId="4" fillId="0" borderId="10" xfId="0" applyNumberFormat="1" applyFont="1" applyFill="1" applyBorder="1" applyAlignment="1">
      <x:alignment vertical="top" wrapText="1"/>
    </x:xf>
    <x:xf numFmtId="202" fontId="4" fillId="0" borderId="11" xfId="0" applyNumberFormat="1" applyFont="1" applyFill="1" applyBorder="1" applyAlignment="1">
      <x:alignment vertical="top" wrapText="1"/>
    </x:xf>
    <x:xf numFmtId="201" fontId="4" fillId="0" borderId="11" xfId="0" applyNumberFormat="1" applyFont="1" applyFill="1" applyBorder="1" applyAlignment="1">
      <x:alignment vertical="top" wrapText="1"/>
    </x:xf>
    <x:xf numFmtId="202" fontId="4" fillId="0" borderId="12" xfId="0" applyNumberFormat="1" applyFont="1" applyFill="1" applyBorder="1" applyAlignment="1">
      <x:alignment vertical="top" wrapText="1"/>
    </x:xf>
    <x:xf numFmtId="201" fontId="4" fillId="0" borderId="12" xfId="0" applyNumberFormat="1" applyFont="1" applyFill="1" applyBorder="1" applyAlignment="1">
      <x:alignment vertical="top" wrapText="1"/>
    </x:xf>
    <x:xf numFmtId="0" fontId="0" fillId="0" borderId="0" xfId="0">
      <x:extLst>
        <x:ext uri="{C7286773-470A-42A8-94C5-96B5CB345126}">
          <xfpb:xfComplement xmlns:xfpb="http://schemas.microsoft.com/office/spreadsheetml/2022/featurepropertybag" i="0"/>
        </x:ext>
      </x:extLst>
    </x:xf>
    <x:xf numFmtId="0" fontId="2" fillId="3" borderId="0" xfId="0" applyNumberFormat="1" applyFont="1" applyFill="1" applyBorder="1" applyAlignment="1">
      <x:alignment vertical="center"/>
    </x:xf>
    <x:xf numFmtId="0" fontId="2" fillId="3" borderId="1" xfId="0" applyNumberFormat="1" applyFont="1" applyFill="1" applyBorder="1" applyAlignment="1">
      <x:alignment vertical="center"/>
    </x:xf>
    <x:xf numFmtId="0" fontId="0" fillId="0" borderId="13" xfId="0" applyNumberFormat="1" applyFont="1" applyFill="1" applyBorder="1"/>
    <x:xf numFmtId="0" fontId="0" fillId="0" borderId="2" xfId="0" applyNumberFormat="1" applyFont="1" applyFill="1" applyBorder="1"/>
    <x:xf numFmtId="0" fontId="2" fillId="3" borderId="3" xfId="0" applyNumberFormat="1" applyFont="1" applyFill="1" applyBorder="1" applyAlignment="1">
      <x:alignment vertical="center"/>
    </x:xf>
    <x:xf numFmtId="0" fontId="0" fillId="0" borderId="0" xfId="0" applyNumberFormat="1" applyFont="1" applyFill="1" applyBorder="1">
      <x:extLst>
        <x:ext uri="{C7286773-470A-42A8-94C5-96B5CB345126}">
          <xfpb:xfComplement xmlns:xfpb="http://schemas.microsoft.com/office/spreadsheetml/2022/featurepropertybag" i="0"/>
        </x:ext>
      </x:extLst>
    </x:xf>
    <x:xf numFmtId="0" fontId="0" fillId="0" borderId="0" xfId="0" applyNumberFormat="1" applyFont="1" applyFill="1" applyBorder="1"/>
    <x:xf numFmtId="0" fontId="0" fillId="0" borderId="4" xfId="0" applyNumberFormat="1" applyFont="1" applyFill="1" applyBorder="1"/>
    <x:xf numFmtId="0" fontId="2" fillId="3" borderId="5" xfId="0" applyNumberFormat="1" applyFont="1" applyFill="1" applyBorder="1" applyAlignment="1">
      <x:alignment vertical="center"/>
    </x:xf>
    <x:xf numFmtId="0" fontId="0" fillId="0" borderId="14" xfId="0" applyNumberFormat="1" applyFont="1" applyFill="1" applyBorder="1"/>
    <x:xf numFmtId="0" fontId="0" fillId="0" borderId="6" xfId="0" applyNumberFormat="1" applyFont="1" applyFill="1" applyBorder="1"/>
    <x:xf numFmtId="0" fontId="0" fillId="0" borderId="13" xfId="0" applyNumberFormat="1" applyFont="1" applyFill="1" applyBorder="1" applyAlignment="1">
      <x:alignment wrapText="1"/>
    </x:xf>
    <x:xf numFmtId="0" fontId="0" fillId="0" borderId="0" xfId="0" applyNumberFormat="1" applyFont="1" applyFill="1" applyBorder="1" applyAlignment="1">
      <x:alignment wrapText="1"/>
      <x:extLst>
        <x:ext uri="{C7286773-470A-42A8-94C5-96B5CB345126}">
          <xfpb:xfComplement xmlns:xfpb="http://schemas.microsoft.com/office/spreadsheetml/2022/featurepropertybag" i="0"/>
        </x:ext>
      </x:extLst>
    </x:xf>
    <x:xf numFmtId="0" fontId="0" fillId="0" borderId="14" xfId="0" applyNumberFormat="1" applyFont="1" applyFill="1" applyBorder="1" applyAlignment="1">
      <x:alignment wrapText="1"/>
    </x:xf>
    <x:xf numFmtId="0" fontId="0" fillId="0" borderId="13" xfId="0" applyNumberFormat="1" applyFont="1" applyFill="1" applyBorder="1" applyAlignment="1">
      <x:alignment vertical="center" wrapText="1"/>
    </x:xf>
    <x:xf numFmtId="0" fontId="0" fillId="0" borderId="2" xfId="0" applyNumberFormat="1" applyFont="1" applyFill="1" applyBorder="1" applyAlignment="1">
      <x:alignment vertical="center" wrapText="1"/>
    </x:xf>
    <x:xf numFmtId="0" fontId="0" fillId="0" borderId="0" xfId="0" applyNumberFormat="1" applyFont="1" applyFill="1" applyBorder="1" applyAlignment="1">
      <x:alignment vertical="center" wrapText="1"/>
      <x:extLst>
        <x:ext uri="{C7286773-470A-42A8-94C5-96B5CB345126}">
          <xfpb:xfComplement xmlns:xfpb="http://schemas.microsoft.com/office/spreadsheetml/2022/featurepropertybag" i="0"/>
        </x:ext>
      </x:extLst>
    </x:xf>
    <x:xf numFmtId="0" fontId="0" fillId="0" borderId="0" xfId="0" applyNumberFormat="1" applyFont="1" applyFill="1" applyBorder="1" applyAlignment="1">
      <x:alignment vertical="center" wrapText="1"/>
    </x:xf>
    <x:xf numFmtId="0" fontId="0" fillId="0" borderId="4" xfId="0" applyNumberFormat="1" applyFont="1" applyFill="1" applyBorder="1" applyAlignment="1">
      <x:alignment vertical="center" wrapText="1"/>
    </x:xf>
    <x:xf numFmtId="0" fontId="0" fillId="0" borderId="14" xfId="0" applyNumberFormat="1" applyFont="1" applyFill="1" applyBorder="1" applyAlignment="1">
      <x:alignment vertical="center" wrapText="1"/>
    </x:xf>
    <x:xf numFmtId="0" fontId="0" fillId="0" borderId="6" xfId="0" applyNumberFormat="1" applyFont="1" applyFill="1" applyBorder="1" applyAlignment="1">
      <x:alignment vertical="center" wrapText="1"/>
    </x:xf>
    <x:xf numFmtId="0" fontId="3" fillId="2" borderId="0" xfId="0" applyNumberFormat="1" applyFont="1" applyFill="1" applyBorder="1"/>
    <x:xf numFmtId="0" fontId="3" fillId="2" borderId="15" xfId="0" applyNumberFormat="1" applyFont="1" applyFill="1" applyBorder="1"/>
    <x:xf numFmtId="0" fontId="3" fillId="2" borderId="16" xfId="0" applyNumberFormat="1" applyFont="1" applyFill="1" applyBorder="1"/>
    <x:xf numFmtId="0" fontId="3" fillId="2" borderId="17" xfId="0" applyNumberFormat="1" applyFont="1" applyFill="1" applyBorder="1"/>
    <x:xf numFmtId="0" fontId="0" fillId="0" borderId="1" xfId="0" applyNumberFormat="1" applyFont="1" applyFill="1" applyBorder="1"/>
    <x:xf numFmtId="0" fontId="0" fillId="0" borderId="3" xfId="0" applyNumberFormat="1" applyFont="1" applyFill="1" applyBorder="1"/>
    <x:xf numFmtId="0" fontId="0" fillId="0" borderId="5" xfId="0" applyNumberFormat="1" applyFont="1" applyFill="1" applyBorder="1"/>
    <x:xf numFmtId="202" fontId="0" fillId="0" borderId="13" xfId="0" applyNumberFormat="1" applyFont="1" applyFill="1" applyBorder="1"/>
    <x:xf numFmtId="202" fontId="0" fillId="0" borderId="14" xfId="0" applyNumberFormat="1" applyFont="1" applyFill="1" applyBorder="1"/>
    <x:xf numFmtId="202" fontId="0" fillId="0" borderId="13" xfId="0" applyNumberFormat="1" applyFont="1" applyFill="1" applyBorder="1" applyAlignment="1">
      <x:alignment horizontal="center"/>
    </x:xf>
    <x:xf numFmtId="202" fontId="0" fillId="0" borderId="0" xfId="0" applyNumberFormat="1" applyFont="1" applyFill="1" applyBorder="1" applyAlignment="1">
      <x:alignment horizontal="center"/>
    </x:xf>
    <x:xf numFmtId="202" fontId="0" fillId="0" borderId="14" xfId="0" applyNumberFormat="1" applyFont="1" applyFill="1" applyBorder="1" applyAlignment="1">
      <x:alignment horizontal="center"/>
    </x:xf>
    <x:xf numFmtId="0" fontId="2" fillId="3" borderId="0" xfId="0" applyNumberFormat="1" applyFont="1" applyFill="1" applyBorder="1" applyAlignment="1">
      <x:alignment wrapText="1"/>
    </x:xf>
    <x:xf numFmtId="0" fontId="1" fillId="5" borderId="0" xfId="0" applyNumberFormat="1" applyFont="1" applyFill="1" applyBorder="1" applyAlignment="1">
      <x:alignment horizontal="left" vertical="center"/>
    </x:xf>
    <x:xf numFmtId="0" fontId="0" fillId="5" borderId="0" xfId="0" applyNumberFormat="1" applyFont="1" applyFill="1" applyBorder="1"/>
    <x:xf numFmtId="0" fontId="1" fillId="5" borderId="0" xfId="0" applyNumberFormat="1" applyFont="1" applyFill="1" applyBorder="1"/>
    <x:xf numFmtId="0" fontId="1" fillId="5" borderId="0" xfId="0" applyNumberFormat="1" applyFont="1" applyFill="1" applyBorder="1" applyAlignment="1">
      <x:alignment horizontal="left"/>
    </x:xf>
    <x:xf numFmtId="0" fontId="3" fillId="6" borderId="7" xfId="0" applyNumberFormat="1" applyFont="1" applyFill="1" applyBorder="1" applyAlignment="1">
      <x:alignment horizontal="left" vertical="center" wrapText="1"/>
    </x:xf>
    <x:xf numFmtId="0" fontId="3" fillId="6" borderId="8" xfId="0" applyNumberFormat="1" applyFont="1" applyFill="1" applyBorder="1" applyAlignment="1">
      <x:alignment horizontal="left" vertical="center" wrapText="1"/>
    </x:xf>
    <x:xf numFmtId="0" fontId="3" fillId="6" borderId="9" xfId="0" applyNumberFormat="1" applyFont="1" applyFill="1" applyBorder="1" applyAlignment="1">
      <x:alignment horizontal="left" vertical="center" wrapText="1"/>
    </x:xf>
    <x:xf numFmtId="0" fontId="0" fillId="6" borderId="0" xfId="0" applyNumberFormat="1" applyFont="1" applyFill="1" applyBorder="1" applyAlignment="1">
      <x:alignment wrapText="1"/>
    </x:xf>
    <x:xf numFmtId="0" fontId="3" fillId="6" borderId="0" xfId="0" applyNumberFormat="1" applyFont="1" applyFill="1" applyBorder="1" applyAlignment="1">
      <x:alignment wrapText="1"/>
    </x:xf>
    <x:xf numFmtId="0" fontId="3" fillId="6" borderId="18" xfId="0" applyNumberFormat="1" applyFont="1" applyFill="1" applyBorder="1" applyAlignment="1">
      <x:alignment horizontal="left" vertical="center" wrapText="1"/>
    </x:xf>
    <x:xf numFmtId="0" fontId="3" fillId="6" borderId="18" xfId="0" applyNumberFormat="1" applyFont="1" applyFill="1" applyBorder="1" applyAlignment="1">
      <x:alignment wrapText="1"/>
    </x:xf>
    <x:xf numFmtId="0" fontId="3" fillId="6" borderId="18" xfId="0" applyNumberFormat="1" applyFont="1" applyFill="1" applyBorder="1" applyAlignment="1">
      <x:alignment horizontal="left" wrapText="1"/>
    </x:xf>
    <x:xf numFmtId="203" fontId="0" fillId="0" borderId="0" xfId="0" applyNumberFormat="1" applyFont="1" applyFill="1" applyBorder="1" applyAlignment="1">
      <x:alignment wrapText="1"/>
    </x:xf>
    <x:xf numFmtId="0" fontId="0" fillId="7" borderId="0" xfId="0" applyNumberFormat="1" applyFont="1" applyFill="1" applyBorder="1"/>
    <x:xf numFmtId="0" fontId="5" fillId="7" borderId="0" xfId="0" applyNumberFormat="1" applyFont="1" applyFill="1" applyBorder="1"/>
    <x:xf numFmtId="0" fontId="5" fillId="7" borderId="0" xfId="0" applyNumberFormat="1" applyFont="1" applyFill="1" applyBorder="1" applyAlignment="1">
      <x:alignment horizontal="left"/>
    </x:xf>
    <x:xf numFmtId="0" fontId="5" fillId="7" borderId="0" xfId="0" applyNumberFormat="1" applyFont="1" applyFill="1" applyBorder="1" applyAlignment="1">
      <x:alignment horizontal="left" vertical="center"/>
    </x:xf>
    <x:xf numFmtId="0" fontId="0" fillId="8" borderId="0" xfId="0" applyNumberFormat="1" applyFont="1" applyFill="1" applyBorder="1"/>
    <x:xf numFmtId="0" fontId="6" fillId="8" borderId="0" xfId="0" applyNumberFormat="1" applyFont="1" applyFill="1" applyBorder="1"/>
    <x:xf numFmtId="0" fontId="6" fillId="8" borderId="19" xfId="0" applyNumberFormat="1" applyFont="1" applyFill="1" applyBorder="1"/>
    <x:xf numFmtId="0" fontId="6" fillId="8" borderId="20" xfId="0" applyNumberFormat="1" applyFont="1" applyFill="1" applyBorder="1"/>
    <x:xf numFmtId="0" fontId="6" fillId="8" borderId="21" xfId="0" applyNumberFormat="1" applyFont="1" applyFill="1" applyBorder="1"/>
    <x:xf numFmtId="0" fontId="6" fillId="8" borderId="19" xfId="0" applyNumberFormat="1" applyFont="1" applyFill="1" applyBorder="1" applyAlignment="1">
      <x:alignment wrapText="1"/>
    </x:xf>
    <x:xf numFmtId="0" fontId="6" fillId="8" borderId="20" xfId="0" applyNumberFormat="1" applyFont="1" applyFill="1" applyBorder="1" applyAlignment="1">
      <x:alignment wrapText="1"/>
    </x:xf>
    <x:xf numFmtId="0" fontId="6" fillId="8" borderId="21" xfId="0" applyNumberFormat="1" applyFont="1" applyFill="1" applyBorder="1" applyAlignment="1">
      <x:alignment wrapText="1"/>
    </x:xf>
    <x:xf numFmtId="0" fontId="6" fillId="8" borderId="19" xfId="0" applyNumberFormat="1" applyFont="1" applyFill="1" applyBorder="1" applyAlignment="1">
      <x:alignment horizontal="left" wrapText="1"/>
    </x:xf>
    <x:xf numFmtId="0" fontId="6" fillId="8" borderId="20" xfId="0" applyNumberFormat="1" applyFont="1" applyFill="1" applyBorder="1" applyAlignment="1">
      <x:alignment horizontal="left" wrapText="1"/>
    </x:xf>
    <x:xf numFmtId="0" fontId="6" fillId="8" borderId="21" xfId="0" applyNumberFormat="1" applyFont="1" applyFill="1" applyBorder="1" applyAlignment="1">
      <x:alignment horizontal="left" wrapText="1"/>
    </x:xf>
    <x:xf numFmtId="0" fontId="6" fillId="8" borderId="19" xfId="0" applyNumberFormat="1" applyFont="1" applyFill="1" applyBorder="1" applyAlignment="1">
      <x:alignment horizontal="left" vertical="center" wrapText="1"/>
    </x:xf>
    <x:xf numFmtId="0" fontId="6" fillId="8" borderId="20" xfId="0" applyNumberFormat="1" applyFont="1" applyFill="1" applyBorder="1" applyAlignment="1">
      <x:alignment horizontal="left" vertical="center" wrapText="1"/>
    </x:xf>
    <x:xf numFmtId="0" fontId="6" fillId="8" borderId="21" xfId="0" applyNumberFormat="1" applyFont="1" applyFill="1" applyBorder="1" applyAlignment="1">
      <x:alignment horizontal="left" vertical="center" wrapText="1"/>
    </x:xf>
    <x:xf numFmtId="0" fontId="0" fillId="9" borderId="0" xfId="0" applyNumberFormat="1" applyFont="1" applyFill="1" applyBorder="1"/>
    <x:xf numFmtId="0" fontId="7" fillId="9" borderId="0" xfId="0" applyNumberFormat="1" applyFont="1" applyFill="1" applyBorder="1"/>
    <x:xf numFmtId="0" fontId="7" fillId="9" borderId="22" xfId="0" applyNumberFormat="1" applyFont="1" applyFill="1" applyBorder="1"/>
    <x:xf numFmtId="0" fontId="7" fillId="9" borderId="22" xfId="0" applyNumberFormat="1" applyFont="1" applyFill="1" applyBorder="1" applyAlignment="1">
      <x:alignment wrapText="1"/>
    </x:xf>
    <x:xf numFmtId="0" fontId="7" fillId="9" borderId="22" xfId="0" applyNumberFormat="1" applyFont="1" applyFill="1" applyBorder="1" applyAlignment="1">
      <x:alignment horizontal="left" wrapText="1"/>
    </x:xf>
    <x:xf numFmtId="0" fontId="7" fillId="9" borderId="22" xfId="0" applyNumberFormat="1" applyFont="1" applyFill="1" applyBorder="1" applyAlignment="1">
      <x:alignment horizontal="left" vertical="top" wrapText="1"/>
    </x:xf>
    <x:xf numFmtId="0" fontId="7" fillId="10" borderId="22" xfId="0" applyNumberFormat="1" applyFont="1" applyFill="1" applyBorder="1" applyAlignment="1">
      <x:alignment horizontal="left" vertical="top" wrapText="1"/>
    </x:xf>
    <x:xf numFmtId="0" fontId="8" fillId="10" borderId="22" xfId="0" applyNumberFormat="1" applyFont="1" applyFill="1" applyBorder="1" applyAlignment="1">
      <x:alignment horizontal="left" vertical="top" wrapText="1"/>
    </x:xf>
    <x:xf numFmtId="0" fontId="8" fillId="10" borderId="22" xfId="0" applyNumberFormat="1" applyFont="1" applyFill="1" applyBorder="1" applyAlignment="1">
      <x:alignment horizontal="left" vertical="center" wrapText="1"/>
    </x:xf>
    <x:xf numFmtId="0" fontId="0" fillId="11" borderId="0" xfId="0" applyNumberFormat="1" applyFont="1" applyFill="1" applyBorder="1"/>
    <x:xf numFmtId="0" fontId="7" fillId="11" borderId="0" xfId="0" applyNumberFormat="1" applyFont="1" applyFill="1" applyBorder="1"/>
    <x:xf numFmtId="0" fontId="7" fillId="11" borderId="22" xfId="0" applyNumberFormat="1" applyFont="1" applyFill="1" applyBorder="1"/>
    <x:xf numFmtId="0" fontId="7" fillId="11" borderId="22" xfId="0" applyNumberFormat="1" applyFont="1" applyFill="1" applyBorder="1" applyAlignment="1">
      <x:alignment wrapText="1"/>
    </x:xf>
    <x:xf numFmtId="0" fontId="7" fillId="11" borderId="22" xfId="0" applyNumberFormat="1" applyFont="1" applyFill="1" applyBorder="1" applyAlignment="1">
      <x:alignment horizontal="left" wrapText="1"/>
    </x:xf>
    <x:xf numFmtId="0" fontId="7" fillId="11" borderId="22" xfId="0" applyNumberFormat="1" applyFont="1" applyFill="1" applyBorder="1" applyAlignment="1">
      <x:alignment horizontal="left" vertical="top" wrapText="1"/>
    </x:xf>
    <x:xf numFmtId="200" fontId="7" fillId="9" borderId="22" xfId="0" applyNumberFormat="1" applyFont="1" applyFill="1" applyBorder="1" applyAlignment="1">
      <x:alignment horizontal="left" vertical="top" wrapText="1"/>
    </x:xf>
    <x:xf numFmtId="200" fontId="7" fillId="11" borderId="22" xfId="0" applyNumberFormat="1" applyFont="1" applyFill="1" applyBorder="1" applyAlignment="1">
      <x:alignment horizontal="left" vertical="top" wrapText="1"/>
    </x:xf>
    <x:xf numFmtId="0" fontId="0" fillId="0" borderId="1" xfId="0" applyNumberFormat="1" applyFont="1" applyFill="1" applyBorder="1" applyAlignment="1">
      <x:alignment wrapText="1"/>
    </x:xf>
    <x:xf numFmtId="0" fontId="0" fillId="0" borderId="3" xfId="0" applyNumberFormat="1" applyFont="1" applyFill="1" applyBorder="1" applyAlignment="1">
      <x:alignment wrapText="1"/>
    </x:xf>
    <x:xf numFmtId="0" fontId="0" fillId="0" borderId="5" xfId="0" applyNumberFormat="1" applyFont="1" applyFill="1" applyBorder="1" applyAlignment="1">
      <x:alignment wrapText="1"/>
    </x:xf>
    <x:xf numFmtId="0" fontId="0" fillId="12" borderId="0" xfId="0" applyNumberFormat="1" applyFont="1" applyFill="1" applyBorder="1"/>
    <x:xf numFmtId="0" fontId="5" fillId="12" borderId="0" xfId="0" applyNumberFormat="1" applyFont="1" applyFill="1" applyBorder="1"/>
    <x:xf numFmtId="0" fontId="5" fillId="12" borderId="0" xfId="0" applyNumberFormat="1" applyFont="1" applyFill="1" applyBorder="1" applyAlignment="1">
      <x:alignment horizontal="left"/>
    </x:xf>
    <x:xf numFmtId="0" fontId="5" fillId="12" borderId="0" xfId="0" applyNumberFormat="1" applyFont="1" applyFill="1" applyBorder="1" applyAlignment="1">
      <x:alignment horizontal="left" vertical="center"/>
    </x:xf>
    <x:xf numFmtId="0" fontId="0" fillId="13" borderId="0" xfId="0" applyNumberFormat="1" applyFont="1" applyFill="1" applyBorder="1"/>
    <x:xf numFmtId="0" fontId="6" fillId="13" borderId="0" xfId="0" applyNumberFormat="1" applyFont="1" applyFill="1" applyBorder="1"/>
    <x:xf numFmtId="0" fontId="6" fillId="13" borderId="19" xfId="0" applyNumberFormat="1" applyFont="1" applyFill="1" applyBorder="1"/>
    <x:xf numFmtId="0" fontId="6" fillId="13" borderId="20" xfId="0" applyNumberFormat="1" applyFont="1" applyFill="1" applyBorder="1"/>
    <x:xf numFmtId="0" fontId="6" fillId="13" borderId="21" xfId="0" applyNumberFormat="1" applyFont="1" applyFill="1" applyBorder="1"/>
    <x:xf numFmtId="0" fontId="6" fillId="13" borderId="19" xfId="0" applyNumberFormat="1" applyFont="1" applyFill="1" applyBorder="1" applyAlignment="1">
      <x:alignment wrapText="1"/>
    </x:xf>
    <x:xf numFmtId="0" fontId="6" fillId="13" borderId="20" xfId="0" applyNumberFormat="1" applyFont="1" applyFill="1" applyBorder="1" applyAlignment="1">
      <x:alignment wrapText="1"/>
    </x:xf>
    <x:xf numFmtId="0" fontId="6" fillId="13" borderId="21" xfId="0" applyNumberFormat="1" applyFont="1" applyFill="1" applyBorder="1" applyAlignment="1">
      <x:alignment wrapText="1"/>
    </x:xf>
    <x:xf numFmtId="0" fontId="6" fillId="13" borderId="19" xfId="0" applyNumberFormat="1" applyFont="1" applyFill="1" applyBorder="1" applyAlignment="1">
      <x:alignment horizontal="left" wrapText="1"/>
    </x:xf>
    <x:xf numFmtId="0" fontId="6" fillId="13" borderId="20" xfId="0" applyNumberFormat="1" applyFont="1" applyFill="1" applyBorder="1" applyAlignment="1">
      <x:alignment horizontal="left" wrapText="1"/>
    </x:xf>
    <x:xf numFmtId="0" fontId="6" fillId="13" borderId="21" xfId="0" applyNumberFormat="1" applyFont="1" applyFill="1" applyBorder="1" applyAlignment="1">
      <x:alignment horizontal="left" wrapText="1"/>
    </x:xf>
    <x:xf numFmtId="0" fontId="6" fillId="13" borderId="19" xfId="0" applyNumberFormat="1" applyFont="1" applyFill="1" applyBorder="1" applyAlignment="1">
      <x:alignment horizontal="left" vertical="center" wrapText="1"/>
    </x:xf>
    <x:xf numFmtId="0" fontId="6" fillId="13" borderId="20" xfId="0" applyNumberFormat="1" applyFont="1" applyFill="1" applyBorder="1" applyAlignment="1">
      <x:alignment horizontal="left" vertical="center" wrapText="1"/>
    </x:xf>
    <x:xf numFmtId="0" fontId="6" fillId="13" borderId="21" xfId="0" applyNumberFormat="1" applyFont="1" applyFill="1" applyBorder="1" applyAlignment="1">
      <x:alignment horizontal="left" vertical="center" wrapText="1"/>
    </x:xf>
    <x:xf numFmtId="0" fontId="0" fillId="14" borderId="0" xfId="0" applyNumberFormat="1" applyFont="1" applyFill="1" applyBorder="1"/>
    <x:xf numFmtId="0" fontId="7" fillId="14" borderId="0" xfId="0" applyNumberFormat="1" applyFont="1" applyFill="1" applyBorder="1"/>
    <x:xf numFmtId="0" fontId="7" fillId="14" borderId="22" xfId="0" applyNumberFormat="1" applyFont="1" applyFill="1" applyBorder="1"/>
    <x:xf numFmtId="0" fontId="7" fillId="14" borderId="22" xfId="0" applyNumberFormat="1" applyFont="1" applyFill="1" applyBorder="1" applyAlignment="1">
      <x:alignment wrapText="1"/>
    </x:xf>
    <x:xf numFmtId="0" fontId="7" fillId="14" borderId="22" xfId="0" applyNumberFormat="1" applyFont="1" applyFill="1" applyBorder="1" applyAlignment="1">
      <x:alignment horizontal="left" wrapText="1"/>
    </x:xf>
    <x:xf numFmtId="0" fontId="7" fillId="14" borderId="22" xfId="0" applyNumberFormat="1" applyFont="1" applyFill="1" applyBorder="1" applyAlignment="1">
      <x:alignment horizontal="left" vertical="top" wrapText="1"/>
    </x:xf>
    <x:xf numFmtId="0" fontId="7" fillId="15" borderId="22" xfId="0" applyNumberFormat="1" applyFont="1" applyFill="1" applyBorder="1" applyAlignment="1">
      <x:alignment horizontal="left" vertical="top" wrapText="1"/>
    </x:xf>
    <x:xf numFmtId="0" fontId="8" fillId="15" borderId="22" xfId="0" applyNumberFormat="1" applyFont="1" applyFill="1" applyBorder="1" applyAlignment="1">
      <x:alignment horizontal="left" vertical="top" wrapText="1"/>
    </x:xf>
    <x:xf numFmtId="0" fontId="8" fillId="15" borderId="22" xfId="0" applyNumberFormat="1" applyFont="1" applyFill="1" applyBorder="1" applyAlignment="1">
      <x:alignment horizontal="left" vertical="center" wrapText="1"/>
    </x:xf>
    <x:xf numFmtId="0" fontId="0" fillId="16" borderId="0" xfId="0" applyNumberFormat="1" applyFont="1" applyFill="1" applyBorder="1"/>
    <x:xf numFmtId="0" fontId="7" fillId="16" borderId="0" xfId="0" applyNumberFormat="1" applyFont="1" applyFill="1" applyBorder="1"/>
    <x:xf numFmtId="0" fontId="7" fillId="16" borderId="22" xfId="0" applyNumberFormat="1" applyFont="1" applyFill="1" applyBorder="1"/>
    <x:xf numFmtId="0" fontId="7" fillId="16" borderId="22" xfId="0" applyNumberFormat="1" applyFont="1" applyFill="1" applyBorder="1" applyAlignment="1">
      <x:alignment wrapText="1"/>
    </x:xf>
    <x:xf numFmtId="0" fontId="7" fillId="16" borderId="22" xfId="0" applyNumberFormat="1" applyFont="1" applyFill="1" applyBorder="1" applyAlignment="1">
      <x:alignment horizontal="left" wrapText="1"/>
    </x:xf>
    <x:xf numFmtId="0" fontId="7" fillId="16" borderId="22" xfId="0" applyNumberFormat="1" applyFont="1" applyFill="1" applyBorder="1" applyAlignment="1">
      <x:alignment horizontal="left" vertical="top" wrapText="1"/>
    </x:xf>
    <x:xf numFmtId="200" fontId="7" fillId="14" borderId="22" xfId="0" applyNumberFormat="1" applyFont="1" applyFill="1" applyBorder="1" applyAlignment="1">
      <x:alignment horizontal="left" vertical="top" wrapText="1"/>
    </x:xf>
    <x:xf numFmtId="200" fontId="7" fillId="16" borderId="22" xfId="0" applyNumberFormat="1" applyFont="1" applyFill="1" applyBorder="1" applyAlignment="1">
      <x:alignment horizontal="left" vertical="top" wrapText="1"/>
    </x:xf>
    <x:xf numFmtId="0" fontId="9" fillId="0" borderId="2" xfId="0" applyNumberFormat="1" applyFont="1" applyFill="1" applyBorder="1" applyAlignment="1">
      <x:alignment wrapText="1"/>
    </x:xf>
    <x:xf numFmtId="0" fontId="9" fillId="0" borderId="0" xfId="0" applyNumberFormat="1" applyFont="1" applyFill="1" applyBorder="1"/>
    <x:xf numFmtId="0" fontId="9" fillId="0" borderId="4" xfId="0" applyNumberFormat="1" applyFont="1" applyFill="1" applyBorder="1" applyAlignment="1">
      <x:alignment wrapText="1"/>
    </x:xf>
    <x:xf numFmtId="0" fontId="9" fillId="0" borderId="6" xfId="0" applyNumberFormat="1" applyFont="1" applyFill="1" applyBorder="1" applyAlignment="1">
      <x:alignment wrapText="1"/>
    </x:xf>
    <x:xf numFmtId="0" fontId="9" fillId="0" borderId="0" xfId="0" applyNumberFormat="1" applyFont="1" applyFill="1" applyBorder="1" applyAlignment="1">
      <x:alignment wrapText="1"/>
    </x:xf>
    <x:xf numFmtId="0" fontId="9" fillId="0" borderId="2" xfId="0" applyNumberFormat="1" applyFont="1" applyFill="1" applyBorder="1" applyAlignment="1">
      <x:alignment vertical="top" wrapText="1"/>
    </x:xf>
    <x:xf numFmtId="0" fontId="9" fillId="0" borderId="0" xfId="0" applyNumberFormat="1" applyFont="1" applyFill="1" applyBorder="1" applyAlignment="1">
      <x:alignment vertical="top" wrapText="1"/>
    </x:xf>
    <x:xf numFmtId="0" fontId="9" fillId="0" borderId="4" xfId="0" applyNumberFormat="1" applyFont="1" applyFill="1" applyBorder="1" applyAlignment="1">
      <x:alignment vertical="top" wrapText="1"/>
    </x:xf>
    <x:xf numFmtId="0" fontId="9" fillId="0" borderId="6" xfId="0" applyNumberFormat="1" applyFont="1" applyFill="1" applyBorder="1" applyAlignment="1">
      <x:alignment vertical="top" wrapText="1"/>
    </x:xf>
  </x:cellXfs>
  <x:cellStyles count="1">
    <x:cellStyle name="Normal" xfId="0"/>
  </x:cellStyles>
  <x:dxfs count="46">
    <x:dxf>
      <x:font>
        <x:b/>
        <x:color rgb="FF166534"/>
      </x:font>
      <x:fill>
        <x:patternFill>
          <x:bgColor rgb="FFDFF3EF"/>
        </x:patternFill>
      </x:fill>
    </x:dxf>
    <x:dxf>
      <x:font>
        <x:b/>
        <x:color rgb="FF991B1B"/>
      </x:font>
      <x:fill>
        <x:patternFill>
          <x:bgColor rgb="FFFDE8E7"/>
        </x:patternFill>
      </x:fill>
    </x:dxf>
    <x:dxf>
      <x:font>
        <x:b/>
        <x:color rgb="FF92400E"/>
      </x:font>
      <x:fill>
        <x:patternFill>
          <x:bgColor rgb="FFFFF4D6"/>
        </x:patternFill>
      </x:fill>
    </x:dxf>
    <x:dxf>
      <x:font>
        <x:b/>
        <x:color rgb="FF475569"/>
      </x:font>
      <x:fill>
        <x:patternFill>
          <x:bgColor rgb="FFF3F5F7"/>
        </x:patternFill>
      </x:fill>
    </x:dxf>
    <x:dxf>
      <x:font>
        <x:b/>
        <x:color rgb="FF166534"/>
      </x:font>
      <x:fill>
        <x:patternFill>
          <x:bgColor rgb="FFDFF3EF"/>
        </x:patternFill>
      </x:fill>
    </x:dxf>
    <x:dxf>
      <x:font>
        <x:b/>
        <x:color rgb="FF166534"/>
      </x:font>
      <x:fill>
        <x:patternFill>
          <x:bgColor rgb="FFDFF3EF"/>
        </x:patternFill>
      </x:fill>
    </x:dxf>
    <x:dxf>
      <x:font>
        <x:b/>
        <x:color rgb="FF991B1B"/>
      </x:font>
      <x:fill>
        <x:patternFill>
          <x:bgColor rgb="FFFDE8E7"/>
        </x:patternFill>
      </x:fill>
    </x:dxf>
    <x:dxf>
      <x:font>
        <x:b/>
        <x:color rgb="FF92400E"/>
      </x:font>
      <x:fill>
        <x:patternFill>
          <x:bgColor rgb="FFFFF4D6"/>
        </x:patternFill>
      </x:fill>
    </x:dxf>
    <x:dxf>
      <x:font>
        <x:b/>
        <x:color rgb="FF475569"/>
      </x:font>
      <x:fill>
        <x:patternFill>
          <x:bgColor rgb="FFF3F5F7"/>
        </x:patternFill>
      </x:fill>
    </x:dxf>
    <x:dxf>
      <x:font>
        <x:b/>
        <x:color rgb="FF166534"/>
      </x:font>
      <x:fill>
        <x:patternFill>
          <x:bgColor rgb="FFDFF3EF"/>
        </x:patternFill>
      </x:fill>
    </x:dxf>
    <x:dxf>
      <x:font>
        <x:b/>
        <x:color rgb="FF166534"/>
      </x:font>
      <x:fill>
        <x:patternFill>
          <x:bgColor rgb="FFDFF3EF"/>
        </x:patternFill>
      </x:fill>
    </x:dxf>
    <x:dxf>
      <x:font>
        <x:b/>
        <x:color rgb="FF991B1B"/>
      </x:font>
      <x:fill>
        <x:patternFill>
          <x:bgColor rgb="FFFDE8E7"/>
        </x:patternFill>
      </x:fill>
    </x:dxf>
    <x:dxf>
      <x:font>
        <x:b/>
        <x:color rgb="FF92400E"/>
      </x:font>
      <x:fill>
        <x:patternFill>
          <x:bgColor rgb="FFFFF4D6"/>
        </x:patternFill>
      </x:fill>
    </x:dxf>
    <x:dxf>
      <x:font>
        <x:b/>
        <x:color rgb="FF475569"/>
      </x:font>
      <x:fill>
        <x:patternFill>
          <x:bgColor rgb="FFF3F5F7"/>
        </x:patternFill>
      </x:fill>
    </x:dxf>
    <x:dxf>
      <x:font>
        <x:b/>
        <x:color rgb="FF166534"/>
      </x:font>
      <x:fill>
        <x:patternFill>
          <x:bgColor rgb="FFDFF3EF"/>
        </x:patternFill>
      </x:fill>
    </x:dxf>
    <x:dxf>
      <x:font>
        <x:b/>
        <x:color rgb="FF166534"/>
      </x:font>
      <x:fill>
        <x:patternFill>
          <x:bgColor rgb="FFDFF3EF"/>
        </x:patternFill>
      </x:fill>
    </x:dxf>
    <x:dxf>
      <x:font>
        <x:b/>
        <x:color rgb="FF991B1B"/>
      </x:font>
      <x:fill>
        <x:patternFill>
          <x:bgColor rgb="FFFDE8E7"/>
        </x:patternFill>
      </x:fill>
    </x:dxf>
    <x:dxf>
      <x:font>
        <x:b/>
        <x:color rgb="FF92400E"/>
      </x:font>
      <x:fill>
        <x:patternFill>
          <x:bgColor rgb="FFFFF4D6"/>
        </x:patternFill>
      </x:fill>
    </x:dxf>
    <x:dxf>
      <x:font>
        <x:b/>
        <x:color rgb="FF475569"/>
      </x:font>
      <x:fill>
        <x:patternFill>
          <x:bgColor rgb="FFF3F5F7"/>
        </x:patternFill>
      </x:fill>
    </x:dxf>
    <x:dxf>
      <x:font>
        <x:b/>
        <x:color rgb="FF166534"/>
      </x:font>
      <x:fill>
        <x:patternFill>
          <x:bgColor rgb="FFDFF3EF"/>
        </x:patternFill>
      </x:fill>
    </x:dxf>
    <x:dxf>
      <x:font>
        <x:b/>
        <x:color rgb="FF166534"/>
      </x:font>
      <x:fill>
        <x:patternFill>
          <x:bgColor rgb="FFDCFCE7"/>
        </x:patternFill>
      </x:fill>
    </x:dxf>
    <x:dxf>
      <x:font>
        <x:b/>
        <x:color rgb="FF92400E"/>
      </x:font>
      <x:fill>
        <x:patternFill>
          <x:bgColor rgb="FFFEF3C7"/>
        </x:patternFill>
      </x:fill>
    </x:dxf>
    <x:dxf>
      <x:font>
        <x:b/>
        <x:color rgb="FF991B1B"/>
      </x:font>
      <x:fill>
        <x:patternFill>
          <x:bgColor rgb="FFFEE2E2"/>
        </x:patternFill>
      </x:fill>
    </x:dxf>
    <x:dxf>
      <x:font>
        <x:b/>
        <x:color rgb="FF374151"/>
      </x:font>
      <x:fill>
        <x:patternFill>
          <x:bgColor rgb="FFE5E7EB"/>
        </x:patternFill>
      </x:fill>
    </x:dxf>
    <x:dxf>
      <x:font>
        <x:b/>
        <x:color rgb="FF166534"/>
      </x:font>
      <x:fill>
        <x:patternFill>
          <x:bgColor rgb="FFDCFCE7"/>
        </x:patternFill>
      </x:fill>
    </x:dxf>
    <x:dxf>
      <x:font>
        <x:b/>
        <x:color rgb="FF92400E"/>
      </x:font>
      <x:fill>
        <x:patternFill>
          <x:bgColor rgb="FFFEF3C7"/>
        </x:patternFill>
      </x:fill>
    </x:dxf>
    <x:dxf>
      <x:font>
        <x:b/>
        <x:color rgb="FF991B1B"/>
      </x:font>
      <x:fill>
        <x:patternFill>
          <x:bgColor rgb="FFFEE2E2"/>
        </x:patternFill>
      </x:fill>
    </x:dxf>
    <x:dxf>
      <x:font>
        <x:b/>
        <x:color rgb="FF374151"/>
      </x:font>
      <x:fill>
        <x:patternFill>
          <x:bgColor rgb="FFE5E7EB"/>
        </x:patternFill>
      </x:fill>
    </x:dxf>
    <x:dxf>
      <x:font>
        <x:b/>
        <x:color rgb="FF274E13"/>
      </x:font>
      <x:fill>
        <x:patternFill>
          <x:bgColor rgb="FFD9EAD3"/>
        </x:patternFill>
      </x:fill>
    </x:dxf>
    <x:dxf>
      <x:font>
        <x:b/>
        <x:color rgb="FF7F6000"/>
      </x:font>
      <x:fill>
        <x:patternFill>
          <x:bgColor rgb="FFFFF2CC"/>
        </x:patternFill>
      </x:fill>
    </x:dxf>
    <x:dxf>
      <x:font>
        <x:b/>
        <x:color rgb="FF990000"/>
      </x:font>
      <x:fill>
        <x:patternFill>
          <x:bgColor rgb="FFF4CCCC"/>
        </x:patternFill>
      </x:fill>
    </x:dxf>
    <x:dxf>
      <x:font>
        <x:b/>
        <x:color rgb="FF274E13"/>
      </x:font>
      <x:fill>
        <x:patternFill>
          <x:bgColor rgb="FFD9EAD3"/>
        </x:patternFill>
      </x:fill>
    </x:dxf>
    <x:dxf>
      <x:font>
        <x:b/>
        <x:color rgb="FF7F6000"/>
      </x:font>
      <x:fill>
        <x:patternFill>
          <x:bgColor rgb="FFFFF2CC"/>
        </x:patternFill>
      </x:fill>
    </x:dxf>
    <x:dxf>
      <x:font>
        <x:b/>
        <x:color rgb="FF990000"/>
      </x:font>
      <x:fill>
        <x:patternFill>
          <x:bgColor rgb="FFF4CCCC"/>
        </x:patternFill>
      </x:fill>
    </x:dxf>
    <x:dxf>
      <x:font>
        <x:b/>
        <x:color rgb="FF274E13"/>
      </x:font>
      <x:fill>
        <x:patternFill>
          <x:bgColor rgb="FFD9EAD3"/>
        </x:patternFill>
      </x:fill>
    </x:dxf>
    <x:dxf>
      <x:font>
        <x:b/>
        <x:color rgb="FF7F6000"/>
      </x:font>
      <x:fill>
        <x:patternFill>
          <x:bgColor rgb="FFFFF2CC"/>
        </x:patternFill>
      </x:fill>
    </x:dxf>
    <x:dxf>
      <x:font>
        <x:b/>
        <x:color rgb="FF990000"/>
      </x:font>
      <x:fill>
        <x:patternFill>
          <x:bgColor rgb="FFF4CCCC"/>
        </x:patternFill>
      </x:fill>
    </x:dxf>
    <x:dxf>
      <x:font>
        <x:b/>
        <x:color rgb="FF274E13"/>
      </x:font>
      <x:fill>
        <x:patternFill>
          <x:bgColor rgb="FFD9EAD3"/>
        </x:patternFill>
      </x:fill>
    </x:dxf>
    <x:dxf>
      <x:font>
        <x:b/>
        <x:color rgb="FF7F6000"/>
      </x:font>
      <x:fill>
        <x:patternFill>
          <x:bgColor rgb="FFFFF2CC"/>
        </x:patternFill>
      </x:fill>
    </x:dxf>
    <x:dxf>
      <x:font>
        <x:b/>
        <x:color rgb="FF990000"/>
      </x:font>
      <x:fill>
        <x:patternFill>
          <x:bgColor rgb="FFF4CCCC"/>
        </x:patternFill>
      </x:fill>
    </x:dxf>
    <x:dxf>
      <x:font>
        <x:b/>
        <x:color rgb="FF274E13"/>
      </x:font>
      <x:fill>
        <x:patternFill>
          <x:bgColor rgb="FFD9EAD3"/>
        </x:patternFill>
      </x:fill>
    </x:dxf>
    <x:dxf>
      <x:font>
        <x:b/>
        <x:color rgb="FF7F6000"/>
      </x:font>
      <x:fill>
        <x:patternFill>
          <x:bgColor rgb="FFFFF2CC"/>
        </x:patternFill>
      </x:fill>
    </x:dxf>
    <x:dxf>
      <x:font>
        <x:b/>
        <x:color rgb="FF990000"/>
      </x:font>
      <x:fill>
        <x:patternFill>
          <x:bgColor rgb="FFF4CCCC"/>
        </x:patternFill>
      </x:fill>
    </x:dxf>
    <x:dxf>
      <x:font>
        <x:b/>
        <x:color rgb="FF274E13"/>
      </x:font>
      <x:fill>
        <x:patternFill>
          <x:bgColor rgb="FFD9EAD3"/>
        </x:patternFill>
      </x:fill>
    </x:dxf>
    <x:dxf>
      <x:font>
        <x:b/>
        <x:color rgb="FF7F6000"/>
      </x:font>
      <x:fill>
        <x:patternFill>
          <x:bgColor rgb="FFFFF2CC"/>
        </x:patternFill>
      </x:fill>
    </x:dxf>
    <x:dxf>
      <x:font>
        <x:b/>
        <x:color rgb="FF990000"/>
      </x:font>
      <x:fill>
        <x:patternFill>
          <x:bgColor rgb="FFF4CCCC"/>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1dd6a4510b2b4297" /><Relationship Type="http://schemas.openxmlformats.org/officeDocument/2006/relationships/theme" Target="/xl/theme/theme1.xml" Id="R67b445f71e67432a" /><Relationship Type="http://schemas.microsoft.com/office/2022/11/relationships/FeaturePropertyBag" Target="/xl/featurePropertyBag/featurePropertyBag.xml" Id="R7cfe8a7d831846c4" /><Relationship Type="http://schemas.openxmlformats.org/officeDocument/2006/relationships/sharedStrings" Target="/xl/sharedStrings.xml" Id="Ra3ab2c93e8fb4207" /><Relationship Type="http://schemas.openxmlformats.org/officeDocument/2006/relationships/worksheet" Target="/xl/worksheets/sheet1.xml" Id="R9cbed441cf094245" /><Relationship Type="http://schemas.openxmlformats.org/officeDocument/2006/relationships/worksheet" Target="/xl/worksheets/sheet2.xml" Id="Re647401d68124db1" /><Relationship Type="http://schemas.openxmlformats.org/officeDocument/2006/relationships/worksheet" Target="/xl/worksheets/sheet3.xml" Id="Rf14c9efe795a4187" /><Relationship Type="http://schemas.openxmlformats.org/officeDocument/2006/relationships/worksheet" Target="/xl/worksheets/sheet4.xml" Id="Rdefe9e5ef7ba4272" /><Relationship Type="http://schemas.openxmlformats.org/officeDocument/2006/relationships/worksheet" Target="/xl/worksheets/sheet5.xml" Id="R47bed88a92f04c36" /><Relationship Type="http://schemas.openxmlformats.org/officeDocument/2006/relationships/worksheet" Target="/xl/worksheets/sheet6.xml" Id="Ra73dbb391c594ba2" /></Relationships>
</file>

<file path=xl/featurePropertyBag/featurePropertyBag.xml><?xml version="1.0" encoding="utf-8"?>
<xfpb:FeaturePropertyBags xmlns:xfpb="http://schemas.microsoft.com/office/spreadsheetml/2022/featurepropertybag">
  <xfpb:bag type="Checkbox"/>
  <xfpb:bag type="XFControls">
    <xfpb:bagId k="CellControl">0</xfpb:bagId>
  </xfpb:bag>
  <xfpb:bag type="XFComplement">
    <xfpb:bagId k="XFControls">1</xfpb:bagId>
  </xfpb:bag>
  <xfpb:bag type="XFComplements" extRef="XFComplementsMapperExtRef">
    <xfpb:a k="MappedFeaturePropertyBags">
      <xfpb:bagId>2</xfpb:bagId>
    </xfpb:a>
  </xfpb:bag>
</xfpb:FeaturePropertyBags>
</file>

<file path=xl/tables/table1.xml><?xml version="1.0" encoding="utf-8"?>
<x:table xmlns:x="http://schemas.openxmlformats.org/spreadsheetml/2006/main" id="1" name="CapabilityMappingTable" displayName="CapabilityMappingTable" ref="A2:U23" headerRowCount="1" totalsRowCount="0" totalsRowShown="0">
  <x:tableColumns count="21">
    <x:tableColumn id="1" name="Dataset Role"/>
    <x:tableColumn id="2" name="Requirement ID"/>
    <x:tableColumn id="3" name="Canonical Field"/>
    <x:tableColumn id="4" name="Required Start"/>
    <x:tableColumn id="5" name="Required End"/>
    <x:tableColumn id="6" name="Required Semantics"/>
    <x:tableColumn id="7" name="Provider Product"/>
    <x:tableColumn id="8" name="Provider Table/API"/>
    <x:tableColumn id="9" name="Provider Field"/>
    <x:tableColumn id="10" name="Availability"/>
    <x:tableColumn id="11" name="Coverage Start"/>
    <x:tableColumn id="12" name="Coverage End"/>
    <x:tableColumn id="13" name="Includes Delisted?"/>
    <x:tableColumn id="14" name="Point-in-Time / Effective-Date?"/>
    <x:tableColumn id="15" name="Unit / Adjustment / Cutoff"/>
    <x:tableColumn id="16" name="Missing-Value Codes"/>
    <x:tableColumn id="17" name="Access / Quota Limit"/>
    <x:tableColumn id="18" name="Documentation URL"/>
    <x:tableColumn id="19" name="Evidence Reference"/>
    <x:tableColumn id="20" name="Provider Notes"/>
    <x:tableColumn id="21" name="Row Completeness Status"/>
  </x:tableColumns>
  <x:tableStyleInfo name="TableStyleMedium2" showFirstColumn="0" showLastColumn="0" showRowStripes="1" showColumnStripes="0"/>
</x:table>
</file>

<file path=xl/tables/table2.xml><?xml version="1.0" encoding="utf-8"?>
<x:table xmlns:x="http://schemas.openxmlformats.org/spreadsheetml/2006/main" id="5" name="RightsConfirmationTableV2" displayName="RightsConfirmationTableV2" ref="A2:M16" headerRowCount="1" totalsRowCount="0" totalsRowShown="0">
  <x:autoFilter ref="A2:M16"/>
  <x:tableColumns count="13">
    <x:tableColumn id="1" name="Permission ID"/>
    <x:tableColumn id="2" name="Permission / Output"/>
    <x:tableColumn id="3" name="Required Answer"/>
    <x:tableColumn id="4" name="Provider Response"/>
    <x:tableColumn id="5" name="Contract Clause / Reference"/>
    <x:tableColumn id="6" name="Evidence File"/>
    <x:tableColumn id="7" name="Evidence SHA-256"/>
    <x:tableColumn id="8" name="Authorized Grantor/Confirmer, Title &amp; Authority Basis"/>
    <x:tableColumn id="9" name="Restrictions / Notes"/>
    <x:tableColumn id="10" name="Conditions Satisfied?"/>
    <x:tableColumn id="11" name="Condition Review Timestamp (ISO 8601 with offset)"/>
    <x:tableColumn id="12" name="Condition Evidence SHA-256"/>
    <x:tableColumn id="13" name="Row Completeness Status"/>
  </x:tableColumns>
  <x:tableStyleInfo name="TableStyleMedium2" showFirstColumn="0" showLastColumn="0" showRowStripes="1" showColumnStripes="0"/>
</x:table>
</file>

<file path=xl/tables/table3.xml><?xml version="1.0" encoding="utf-8"?>
<x:table xmlns:x="http://schemas.openxmlformats.org/spreadsheetml/2006/main" id="3" name="PrivateDeliveryTable" displayName="PrivateDeliveryTable" ref="A2:Q14" headerRowCount="1" totalsRowCount="0" totalsRowShown="0">
  <x:tableColumns count="17">
    <x:tableColumn id="1" name="Artifact Role"/>
    <x:tableColumn id="2" name="Required Logical File"/>
    <x:tableColumn id="3" name="Actual File Name"/>
    <x:tableColumn id="4" name="Encrypted Transfer Method"/>
    <x:tableColumn id="5" name="Password Sent Separately?"/>
    <x:tableColumn id="6" name="Approved Private Location Class"/>
    <x:tableColumn id="7" name="Bytes"/>
    <x:tableColumn id="8" name="SHA-256"/>
    <x:tableColumn id="9" name="Row Count / Record Count"/>
    <x:tableColumn id="10" name="Provider Data Version"/>
    <x:tableColumn id="11" name="Coverage Start"/>
    <x:tableColumn id="12" name="Coverage End"/>
    <x:tableColumn id="13" name="Received / Extracted At (UTC)"/>
    <x:tableColumn id="14" name="Field Dictionary SHA-256"/>
    <x:tableColumn id="15" name="Failed Batches / Notes"/>
    <x:tableColumn id="16" name="All Failed Batches Resolved?"/>
    <x:tableColumn id="17" name="Row Completeness Status"/>
  </x:tableColumns>
  <x:tableStyleInfo name="TableStyleMedium2" showFirstColumn="0" showLastColumn="0" showRowStripes="1" showColumnStripes="0"/>
</x:table>
</file>

<file path=xl/tables/table4.xml><?xml version="1.0" encoding="utf-8"?>
<x:table xmlns:x="http://schemas.openxmlformats.org/spreadsheetml/2006/main" id="4" name="SourceEvidenceTable" displayName="SourceEvidenceTable" ref="A2:G15" headerRowCount="1" totalsRowCount="0" totalsRowShown="0">
  <x:tableColumns count="7">
    <x:tableColumn id="1" name="Source ID"/>
    <x:tableColumn id="2" name="Entity"/>
    <x:tableColumn id="3" name="Document / Endpoint"/>
    <x:tableColumn id="4" name="URL"/>
    <x:tableColumn id="5" name="Relevant Claim"/>
    <x:tableColumn id="6" name="Reviewed On"/>
    <x:tableColumn id="7" name="Use in Decision"/>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&#65279;<?xml version="1.0" encoding="utf-8"?><Relationships xmlns="http://schemas.openxmlformats.org/package/2006/relationships"><Relationship Type="http://schemas.openxmlformats.org/officeDocument/2006/relationships/table" Target="/xl/tables/table1.xml" Id="Rfefe7bf04f4e443c" /></Relationships>
</file>

<file path=xl/worksheets/_rels/sheet3.xml.rels>&#65279;<?xml version="1.0" encoding="utf-8"?><Relationships xmlns="http://schemas.openxmlformats.org/package/2006/relationships"><Relationship Type="http://schemas.openxmlformats.org/officeDocument/2006/relationships/table" Target="/xl/tables/table2.xml" Id="Ra39e66ffb63040ac" /></Relationships>
</file>

<file path=xl/worksheets/_rels/sheet4.xml.rels>&#65279;<?xml version="1.0" encoding="utf-8"?><Relationships xmlns="http://schemas.openxmlformats.org/package/2006/relationships"><Relationship Type="http://schemas.openxmlformats.org/officeDocument/2006/relationships/table" Target="/xl/tables/table3.xml" Id="R9016ea11122e414d" /></Relationships>
</file>

<file path=xl/worksheets/_rels/sheet5.xml.rels>&#65279;<?xml version="1.0" encoding="utf-8"?><Relationships xmlns="http://schemas.openxmlformats.org/package/2006/relationships"><Relationship Type="http://schemas.openxmlformats.org/officeDocument/2006/relationships/table" Target="/xl/tables/table4.xml" Id="R45bf9187af5b4d9c" /></Relationships>
</file>

<file path=xl/worksheets/sheet1.xml><?xml version="1.0" encoding="utf-8"?>
<x:worksheet xmlns:x="http://schemas.openxmlformats.org/spreadsheetml/2006/main">
  <x:sheetViews>
    <x:sheetView showGridLines="0" workbookViewId="0"/>
  </x:sheetViews>
  <x:sheetFormatPr defaultRowHeight="15"/>
  <x:cols>
    <x:col min="1" max="1" width="28" hidden="0" customWidth="1"/>
    <x:col min="2" max="2" width="15" hidden="0" customWidth="1"/>
    <x:col min="3" max="3" width="15" hidden="0" customWidth="1"/>
    <x:col min="4" max="4" width="15" hidden="0" customWidth="1"/>
    <x:col min="5" max="5" width="15" hidden="0" customWidth="1"/>
    <x:col min="6" max="6" width="34" hidden="0" customWidth="1"/>
  </x:cols>
  <x:sheetData>
    <x:row r="1" ht="30" customHeight="1">
      <x:c r="A1" s="4" t="str">
        <x:v>Stage-2 Procurement Gate Summary</x:v>
      </x:c>
      <x:c r="B1" s="4"/>
      <x:c r="C1" s="4"/>
      <x:c r="D1" s="4"/>
      <x:c r="E1" s="4"/>
      <x:c r="F1" s="4"/>
    </x:row>
    <x:row r="3" ht="26" customHeight="1">
      <x:c r="A3" s="78" t="str">
        <x:v>Workbook purpose</x:v>
      </x:c>
      <x:c r="B3" s="91" t="str">
        <x:v>Provider capability, rights and private-delivery intake only</x:v>
      </x:c>
      <x:c r="C3" s="91"/>
      <x:c r="D3" s="91"/>
      <x:c r="E3" s="91"/>
      <x:c r="F3" s="92"/>
    </x:row>
    <x:row r="4" ht="26" customHeight="1">
      <x:c r="A4" s="81" t="str">
        <x:v>Authorization granted</x:v>
      </x:c>
      <x:c r="B4" s="93" t="b">
        <x:v>0</x:v>
      </x:c>
      <x:c r="C4" s="94"/>
      <x:c r="D4" s="94"/>
      <x:c r="E4" s="94"/>
      <x:c r="F4" s="95"/>
    </x:row>
    <x:row r="5" ht="26" customHeight="1">
      <x:c r="A5" s="81" t="str">
        <x:v>Outcome inspection permitted</x:v>
      </x:c>
      <x:c r="B5" s="93" t="b">
        <x:v>0</x:v>
      </x:c>
      <x:c r="C5" s="94"/>
      <x:c r="D5" s="94"/>
      <x:c r="E5" s="94"/>
      <x:c r="F5" s="95"/>
    </x:row>
    <x:row r="6" ht="26" customHeight="1">
      <x:c r="A6" s="81" t="str">
        <x:v>Current default status</x:v>
      </x:c>
      <x:c r="B6" s="94" t="str">
        <x:f>F14</x:f>
        <x:v>INCOMPLETE</x:v>
      </x:c>
      <x:c r="C6" s="94"/>
      <x:c r="D6" s="94"/>
      <x:c r="E6" s="94"/>
      <x:c r="F6" s="95"/>
    </x:row>
    <x:row r="7" ht="26" customHeight="1">
      <x:c r="A7" s="85" t="str">
        <x:v>Decision owner</x:v>
      </x:c>
      <x:c r="B7" s="96" t="str">
        <x:v>Authorized human reviewer / data administrator</x:v>
      </x:c>
      <x:c r="C7" s="96"/>
      <x:c r="D7" s="96"/>
      <x:c r="E7" s="96"/>
      <x:c r="F7" s="97"/>
    </x:row>
    <x:row r="9" ht="34" customHeight="1">
      <x:c r="A9" s="27" t="str">
        <x:v>Documentation Section</x:v>
      </x:c>
      <x:c r="B9" s="28" t="str">
        <x:v>DOCUMENTED</x:v>
      </x:c>
      <x:c r="C9" s="28" t="str">
        <x:v>REVIEW</x:v>
      </x:c>
      <x:c r="D9" s="28" t="str">
        <x:v>BLOCKED</x:v>
      </x:c>
      <x:c r="E9" s="28" t="str">
        <x:v>INCOMPLETE</x:v>
      </x:c>
      <x:c r="F9" s="29" t="str">
        <x:v>Section Result</x:v>
      </x:c>
    </x:row>
    <x:row r="10" ht="22.5" customHeight="1">
      <x:c r="A10" s="159" t="str">
        <x:v>Capability Mapping (28 contract rows)</x:v>
      </x:c>
      <x:c r="B10" s="107" t="n">
        <x:f>COUNTIF('Capability Mapping'!$U$3:$U$30,"DOCUMENTED")</x:f>
        <x:v>0</x:v>
      </x:c>
      <x:c r="C10" s="107" t="n">
        <x:f>COUNTIF('Capability Mapping'!$U$3:$U$30,"REVIEW")</x:f>
        <x:v>0</x:v>
      </x:c>
      <x:c r="D10" s="107" t="n">
        <x:f>COUNTIF('Capability Mapping'!$U$3:$U$30,"BLOCKED")</x:f>
        <x:v>0</x:v>
      </x:c>
      <x:c r="E10" s="107" t="n">
        <x:f>COUNTIF('Capability Mapping'!$U$3:$U$30,"INCOMPLETE")</x:f>
        <x:v>28</x:v>
      </x:c>
      <x:c r="F10" s="80" t="str">
        <x:f>IF(D10&gt;0,"BLOCKED",IF(C10&gt;0,"REVIEW",IF(E10&gt;0,"INCOMPLETE","DOCUMENTED")))</x:f>
        <x:v>INCOMPLETE</x:v>
      </x:c>
    </x:row>
    <x:row r="11" ht="22.5" customHeight="1">
      <x:c r="A11" s="160" t="str">
        <x:v>Rights Confirmation (19 gate rows)</x:v>
      </x:c>
      <x:c r="B11" s="108" t="n">
        <x:f>COUNTIF('Rights Confirmation'!$P$3:$P$27,"DOCUMENTED")</x:f>
        <x:v>0</x:v>
      </x:c>
      <x:c r="C11" s="108" t="n">
        <x:f>COUNTIF('Rights Confirmation'!$P$3:$P$27,"REVIEW")</x:f>
        <x:v>0</x:v>
      </x:c>
      <x:c r="D11" s="108" t="n">
        <x:f>COUNTIF('Rights Confirmation'!$P$3:$P$27,"BLOCKED")</x:f>
        <x:v>0</x:v>
      </x:c>
      <x:c r="E11" s="108" t="n">
        <x:f>COUNTIF('Rights Confirmation'!$P$3:$P$27,"INCOMPLETE")</x:f>
        <x:v>19</x:v>
      </x:c>
      <x:c r="F11" s="84" t="str">
        <x:f>IF(D11&gt;0,"BLOCKED",IF(C11&gt;0,"REVIEW",IF(E11&gt;0,"INCOMPLETE","DOCUMENTED")))</x:f>
        <x:v>INCOMPLETE</x:v>
      </x:c>
    </x:row>
    <x:row r="12" ht="22.5" customHeight="1">
      <x:c r="A12" s="161" t="str">
        <x:v>Private Delivery (23 artifacts)</x:v>
      </x:c>
      <x:c r="B12" s="109" t="n">
        <x:f>COUNTIF('Private Delivery'!$Q$3:$Q$25,"DOCUMENTED")</x:f>
        <x:v>0</x:v>
      </x:c>
      <x:c r="C12" s="109" t="n">
        <x:f>COUNTIF('Private Delivery'!$Q$3:$Q$25,"REVIEW")</x:f>
        <x:v>0</x:v>
      </x:c>
      <x:c r="D12" s="109" t="n">
        <x:f>COUNTIF('Private Delivery'!$Q$3:$Q$25,"BLOCKED")</x:f>
        <x:v>0</x:v>
      </x:c>
      <x:c r="E12" s="109" t="n">
        <x:f>COUNTIF('Private Delivery'!$Q$3:$Q$25,"INCOMPLETE")</x:f>
        <x:v>23</x:v>
      </x:c>
      <x:c r="F12" s="87" t="str">
        <x:f>IF(D12&gt;0,"BLOCKED",IF(C12&gt;0,"REVIEW",IF(E12&gt;0,"INCOMPLETE","DOCUMENTED")))</x:f>
        <x:v>INCOMPLETE</x:v>
      </x:c>
    </x:row>
    <x:row r="14">
      <x:c r="A14" s="99" t="str">
        <x:v>Overall procurement status</x:v>
      </x:c>
      <x:c r="B14" s="100"/>
      <x:c r="C14" s="100"/>
      <x:c r="D14" s="100"/>
      <x:c r="E14" s="100"/>
      <x:c r="F14" s="101" t="str">
        <x:f>IF(COUNTIF(F10:F12,"BLOCKED")&gt;0,"BLOCKED",IF(COUNTIF(F10:F12,"REVIEW")&gt;0,"REVIEW",IF(COUNTIF(F10:F12,"INCOMPLETE")&gt;0,"INCOMPLETE","FORM_COMPLETE_FOR_HUMAN_REVIEW")))</x:f>
        <x:v>INCOMPLETE</x:v>
      </x:c>
    </x:row>
    <x:row r="16">
      <x:c r="A16" s="110" t="str">
        <x:v>Interpretation</x:v>
      </x:c>
      <x:c r="B16" s="110" t="str"/>
      <x:c r="C16" s="110" t="str"/>
      <x:c r="D16" s="110" t="str"/>
      <x:c r="E16" s="110" t="str"/>
      <x:c r="F16" s="110" t="str"/>
    </x:row>
    <x:row r="17" ht="28.5" customHeight="1">
      <x:c r="A17" s="9" t="str">
        <x:v>DOCUMENTED</x:v>
      </x:c>
      <x:c r="B17" s="9" t="str">
        <x:v>Every required mapping, contract-validity record, resolved dataset permission and custody artifact is documented; only the independent human attestation and repository validators can accept the evidence.</x:v>
      </x:c>
      <x:c r="C17" s="9" t="str"/>
      <x:c r="D17" s="9" t="str"/>
      <x:c r="E17" s="9" t="str"/>
      <x:c r="F17" s="9" t="str"/>
    </x:row>
    <x:row r="18" ht="28.5" customHeight="1">
      <x:c r="A18" s="9" t="str">
        <x:v>REVIEW</x:v>
      </x:c>
      <x:c r="B18" s="9" t="str">
        <x:v>A Conditional permission is documented only with an exact canonical permission field, unique restriction ID, satisfied-condition flag, timezone-aware review time and 64-hex evidence hash; final acceptance still requires the private human rights attestation.</x:v>
      </x:c>
      <x:c r="C18" s="9" t="str"/>
      <x:c r="D18" s="9" t="str"/>
      <x:c r="E18" s="9" t="str"/>
      <x:c r="F18" s="9" t="str"/>
    </x:row>
    <x:row r="19" ht="28.5" customHeight="1">
      <x:c r="A19" s="9" t="str">
        <x:v>BLOCKED / INCOMPLETE</x:v>
      </x:c>
      <x:c r="B19" s="9" t="str">
        <x:v>Do not freeze, register, authorize or execute Stage-2. FORM_COMPLETE_FOR_HUMAN_REVIEW is not data acceptance or execution authorization.</x:v>
      </x:c>
      <x:c r="C19" s="9" t="str"/>
      <x:c r="D19" s="9" t="str"/>
      <x:c r="E19" s="9" t="str"/>
      <x:c r="F19" s="9" t="str"/>
    </x:row>
  </x:sheetData>
  <x:mergeCells>
    <x:mergeCell ref="A1:F1"/>
    <x:mergeCell ref="B3:F3"/>
    <x:mergeCell ref="B4:F4"/>
    <x:mergeCell ref="B5:F5"/>
    <x:mergeCell ref="B6:F6"/>
    <x:mergeCell ref="B7:F7"/>
    <x:mergeCell ref="A14:E14"/>
    <x:mergeCell ref="B17:F17"/>
    <x:mergeCell ref="B18:F18"/>
    <x:mergeCell ref="B19:F19"/>
  </x:mergeCells>
  <x:conditionalFormatting sqref="F10:F14">
    <x:cfRule type="containsText" dxfId="15" priority="1" operator="containsText" text="DOCUMENTED"/>
    <x:cfRule type="containsText" dxfId="16" priority="2" operator="containsText" text="BLOCKED"/>
    <x:cfRule type="containsText" dxfId="17" priority="3" operator="containsText" text="REVIEW"/>
    <x:cfRule type="containsText" dxfId="18" priority="4" operator="containsText" text="INCOMPLETE"/>
    <x:cfRule type="containsText" dxfId="19" priority="5" operator="containsText" text="FORM_COMPLETE"/>
  </x:conditionalFormatting>
  <x:pageMargins left="0.7" right="0.7" top="0.75" bottom="0.75" header="0.3" footer="0.3"/>
</x:worksheet>
</file>

<file path=xl/worksheets/sheet2.xml><?xml version="1.0" encoding="utf-8"?>
<x:worksheet xmlns:x="http://schemas.openxmlformats.org/spreadsheetml/2006/main">
  <x:sheetViews>
    <x:sheetView showGridLines="0" workbookViewId="0"/>
  </x:sheetViews>
  <x:sheetFormatPr defaultRowHeight="15"/>
  <x:cols>
    <x:col min="1" max="1" width="11.670000076293945" hidden="0" customWidth="1"/>
    <x:col min="2" max="2" width="12.779999732971191" hidden="0" customWidth="1"/>
    <x:col min="3" max="3" width="18.889999389648438" hidden="0" customWidth="1"/>
    <x:col min="4" max="4" width="10.220000267028809" hidden="0" customWidth="1"/>
    <x:col min="5" max="5" width="10.220000267028809" hidden="0" customWidth="1"/>
    <x:col min="6" max="6" width="55.560001373291016" hidden="0" customWidth="1"/>
    <x:col min="7" max="7" width="16.670000076293945" hidden="0" customWidth="1"/>
    <x:col min="8" max="8" width="16.670000076293945" hidden="0" customWidth="1"/>
    <x:col min="9" max="9" width="18.889999389648438" hidden="0" customWidth="1"/>
    <x:col min="10" max="10" width="10.220000267028809" hidden="0" customWidth="1"/>
    <x:col min="11" max="11" width="10.220000267028809" hidden="0" customWidth="1"/>
    <x:col min="12" max="12" width="10.220000267028809" hidden="0" customWidth="1"/>
    <x:col min="13" max="13" width="11.670000076293945" hidden="0" customWidth="1"/>
    <x:col min="14" max="14" width="13.329999923706055" hidden="0" customWidth="1"/>
    <x:col min="15" max="15" width="40" hidden="0" customWidth="1"/>
    <x:col min="16" max="16" width="16.670000076293945" hidden="0" customWidth="1"/>
    <x:col min="17" max="17" width="15" hidden="0" customWidth="1"/>
    <x:col min="18" max="18" width="23.889999389648438" hidden="0" customWidth="1"/>
    <x:col min="19" max="19" width="20.559999465942383" hidden="0" customWidth="1"/>
    <x:col min="20" max="20" width="24.440000534057617" hidden="0" customWidth="1"/>
    <x:col min="21" max="21" width="13.890000343322754" hidden="0" customWidth="1"/>
  </x:cols>
  <x:sheetData>
    <x:row r="1" ht="24" customHeight="1">
      <x:c r="A1" s="165" t="str">
        <x:v>Provider Capability and Field Mapping — Provider/Data Administrator to Complete</x:v>
      </x:c>
      <x:c r="B1" s="165"/>
      <x:c r="C1" s="165"/>
      <x:c r="D1" s="165"/>
      <x:c r="E1" s="165"/>
      <x:c r="F1" s="165"/>
      <x:c r="G1" s="165"/>
      <x:c r="H1" s="165"/>
      <x:c r="I1" s="165"/>
      <x:c r="J1" s="165"/>
      <x:c r="K1" s="165"/>
      <x:c r="L1" s="165"/>
      <x:c r="M1" s="165"/>
      <x:c r="N1" s="165"/>
      <x:c r="O1" s="165"/>
      <x:c r="P1" s="165"/>
      <x:c r="Q1" s="165"/>
      <x:c r="R1" s="165"/>
      <x:c r="S1" s="165"/>
      <x:c r="T1" s="165"/>
      <x:c r="U1" s="165"/>
    </x:row>
    <x:row r="2" ht="42" customHeight="1">
      <x:c r="A2" s="177" t="str">
        <x:v>Dataset Role</x:v>
      </x:c>
      <x:c r="B2" s="178" t="str">
        <x:v>Requirement ID</x:v>
      </x:c>
      <x:c r="C2" s="178" t="str">
        <x:v>Canonical Field / Contract Item</x:v>
      </x:c>
      <x:c r="D2" s="178" t="str">
        <x:v>Required Start</x:v>
      </x:c>
      <x:c r="E2" s="178" t="str">
        <x:v>Required End</x:v>
      </x:c>
      <x:c r="F2" s="178" t="str">
        <x:v>Required Semantics</x:v>
      </x:c>
      <x:c r="G2" s="178" t="str">
        <x:v>Provider Product</x:v>
      </x:c>
      <x:c r="H2" s="178" t="str">
        <x:v>Provider Table/API</x:v>
      </x:c>
      <x:c r="I2" s="178" t="str">
        <x:v>Provider Field / Mapping</x:v>
      </x:c>
      <x:c r="J2" s="178" t="str">
        <x:v>Availability</x:v>
      </x:c>
      <x:c r="K2" s="178" t="str">
        <x:v>Coverage Start</x:v>
      </x:c>
      <x:c r="L2" s="178" t="str">
        <x:v>Coverage End</x:v>
      </x:c>
      <x:c r="M2" s="178" t="str">
        <x:v>Includes Delisted?</x:v>
      </x:c>
      <x:c r="N2" s="178" t="str">
        <x:v>Point-in-Time / Effective-Date?</x:v>
      </x:c>
      <x:c r="O2" s="178" t="str">
        <x:v>Provider Unit / Adjustment / Cutoff Response</x:v>
      </x:c>
      <x:c r="P2" s="178" t="str">
        <x:v>Missing-Value Codes</x:v>
      </x:c>
      <x:c r="Q2" s="178" t="str">
        <x:v>Access / Quota Limit</x:v>
      </x:c>
      <x:c r="R2" s="178" t="str">
        <x:v>Documentation URL</x:v>
      </x:c>
      <x:c r="S2" s="178" t="str">
        <x:v>Evidence SHA-256</x:v>
      </x:c>
      <x:c r="T2" s="178" t="str">
        <x:v>Provider Notes</x:v>
      </x:c>
      <x:c r="U2" s="179" t="str">
        <x:v>Row Completeness Status</x:v>
      </x:c>
    </x:row>
    <x:row r="3" ht="43.5" customHeight="1">
      <x:c r="A3" s="185" t="str">
        <x:v>quotes</x:v>
      </x:c>
      <x:c r="B3" s="185" t="str">
        <x:v>Q-DATE</x:v>
      </x:c>
      <x:c r="C3" s="185" t="str">
        <x:v>date</x:v>
      </x:c>
      <x:c r="D3" s="195" t="n">
        <x:v>39814</x:v>
      </x:c>
      <x:c r="E3" s="195" t="n">
        <x:v>44957</x:v>
      </x:c>
      <x:c r="F3" s="185" t="str">
        <x:v>Official common SSE/SZSE session date; exact key with symbol; every quote date is a bound-calendar member.</x:v>
      </x:c>
      <x:c r="G3" s="185"/>
      <x:c r="H3" s="185"/>
      <x:c r="I3" s="185"/>
      <x:c r="J3" s="185" t="str">
        <x:v>Unknown</x:v>
      </x:c>
      <x:c r="K3" s="185"/>
      <x:c r="L3" s="185"/>
      <x:c r="M3" s="185" t="str">
        <x:v>Unknown</x:v>
      </x:c>
      <x:c r="N3" s="185" t="str">
        <x:v>Unknown</x:v>
      </x:c>
      <x:c r="O3" s="185"/>
      <x:c r="P3" s="185"/>
      <x:c r="Q3" s="185"/>
      <x:c r="R3" s="185"/>
      <x:c r="S3" s="185"/>
      <x:c r="T3" s="185"/>
      <x:c r="U3" s="188" t="str">
        <x:f>IF(OR(J3="",J3="Unknown",M3="",M3="Unknown",N3="",N3="Unknown",G3="",H3="",I3="",K3="",L3="",O3="",P3="",Q3="",R3="",S3=""),"INCOMPLETE",IF(OR(J3="No",K3&gt;D3,L3&lt;E3,N3&lt;&gt;"Yes",LEN(S3)&lt;&gt;64,AND(A3="official_calendar",M3&lt;&gt;"N/A"),AND(A3&lt;&gt;"official_calendar",M3&lt;&gt;"Yes"),AND(OR(B3="Q-SYMBOL",B3="M-SYMBOL",B3="F-SYMBOL"),O3&lt;&gt;"provider_stable_exchange_qualified_security_identifier_with_reviewed_code_change_mapping_v1"),AND(B3="Q-CLOSE",O3&lt;&gt;"close=close_raw*adjustment_factor"),AND(B3="Q-ADJ-METHOD",O3&lt;&gt;"close_equals_close_raw_times_adjustment_factor"),AND(B3="Q-ADJ-CONVENTION",O3&lt;&gt;"provider_cumulative_backward_adjusted_hfq_no_rebasing"),AND(B3="Q-AMOUNT-UNIT",O3&lt;&gt;"CNY"),AND(B3="M-TERMINAL",O3&lt;&gt;"2023-01-31"),AND(OR(B3="Q-CLOSE-RAW",B3="Q-ADJ-FACTOR",B3="Q-CLOSE"),COUNTIF($S$5:$S$7,S3)&lt;&gt;1)),"BLOCKED",IF(J3="Partial","REVIEW","DOCUMENTED")))</x:f>
        <x:v>INCOMPLETE</x:v>
      </x:c>
    </x:row>
    <x:row r="4" ht="43.5" customHeight="1">
      <x:c r="A4" s="194" t="str">
        <x:v>quotes</x:v>
      </x:c>
      <x:c r="B4" s="194" t="str">
        <x:v>Q-SYMBOL</x:v>
      </x:c>
      <x:c r="C4" s="194" t="str">
        <x:v>symbol</x:v>
      </x:c>
      <x:c r="D4" s="196" t="n">
        <x:v>39814</x:v>
      </x:c>
      <x:c r="E4" s="196" t="n">
        <x:v>44957</x:v>
      </x:c>
      <x:c r="F4" s="194" t="str">
        <x:v>Provider-stable SH/SZ A-share identity under exact contract token provider_stable_exchange_qualified_security_identifier_with_reviewed_code_change_mapping_v1; identical semantics across quotes, stock master and fundamentals.</x:v>
      </x:c>
      <x:c r="G4" s="194"/>
      <x:c r="H4" s="194"/>
      <x:c r="I4" s="194"/>
      <x:c r="J4" s="194" t="str">
        <x:v>Unknown</x:v>
      </x:c>
      <x:c r="K4" s="194"/>
      <x:c r="L4" s="194"/>
      <x:c r="M4" s="194" t="str">
        <x:v>Unknown</x:v>
      </x:c>
      <x:c r="N4" s="194" t="str">
        <x:v>Unknown</x:v>
      </x:c>
      <x:c r="O4" s="194"/>
      <x:c r="P4" s="194"/>
      <x:c r="Q4" s="194"/>
      <x:c r="R4" s="194"/>
      <x:c r="S4" s="194"/>
      <x:c r="T4" s="194"/>
      <x:c r="U4" s="188" t="str">
        <x:f>IF(OR(J4="",J4="Unknown",M4="",M4="Unknown",N4="",N4="Unknown",G4="",H4="",I4="",K4="",L4="",O4="",P4="",Q4="",R4="",S4=""),"INCOMPLETE",IF(OR(J4="No",K4&gt;D4,L4&lt;E4,N4&lt;&gt;"Yes",LEN(S4)&lt;&gt;64,AND(A4="official_calendar",M4&lt;&gt;"N/A"),AND(A4&lt;&gt;"official_calendar",M4&lt;&gt;"Yes"),AND(OR(B4="Q-SYMBOL",B4="M-SYMBOL",B4="F-SYMBOL"),O4&lt;&gt;"provider_stable_exchange_qualified_security_identifier_with_reviewed_code_change_mapping_v1"),AND(B4="Q-CLOSE",O4&lt;&gt;"close=close_raw*adjustment_factor"),AND(B4="Q-ADJ-METHOD",O4&lt;&gt;"close_equals_close_raw_times_adjustment_factor"),AND(B4="Q-ADJ-CONVENTION",O4&lt;&gt;"provider_cumulative_backward_adjusted_hfq_no_rebasing"),AND(B4="Q-AMOUNT-UNIT",O4&lt;&gt;"CNY"),AND(B4="M-TERMINAL",O4&lt;&gt;"2023-01-31"),AND(OR(B4="Q-CLOSE-RAW",B4="Q-ADJ-FACTOR",B4="Q-CLOSE"),COUNTIF($S$5:$S$7,S4)&lt;&gt;1)),"BLOCKED",IF(J4="Partial","REVIEW","DOCUMENTED")))</x:f>
        <x:v>INCOMPLETE</x:v>
      </x:c>
    </x:row>
    <x:row r="5" ht="43.5" customHeight="1">
      <x:c r="A5" s="185" t="str">
        <x:v>quotes</x:v>
      </x:c>
      <x:c r="B5" s="185" t="str">
        <x:v>Q-CLOSE-RAW</x:v>
      </x:c>
      <x:c r="C5" s="185" t="str">
        <x:v>close_raw</x:v>
      </x:c>
      <x:c r="D5" s="195" t="n">
        <x:v>39814</x:v>
      </x:c>
      <x:c r="E5" s="195" t="n">
        <x:v>44957</x:v>
      </x:c>
      <x:c r="F5" s="185" t="str">
        <x:v>Finite positive supplier-recorded same-session traded close or same-session suspension valuation; separately hash-evidenced definition; no research-code carry-forward.</x:v>
      </x:c>
      <x:c r="G5" s="185"/>
      <x:c r="H5" s="185"/>
      <x:c r="I5" s="185"/>
      <x:c r="J5" s="185" t="str">
        <x:v>Unknown</x:v>
      </x:c>
      <x:c r="K5" s="185"/>
      <x:c r="L5" s="185"/>
      <x:c r="M5" s="185" t="str">
        <x:v>Unknown</x:v>
      </x:c>
      <x:c r="N5" s="185" t="str">
        <x:v>Unknown</x:v>
      </x:c>
      <x:c r="O5" s="185"/>
      <x:c r="P5" s="185"/>
      <x:c r="Q5" s="185"/>
      <x:c r="R5" s="185"/>
      <x:c r="S5" s="185"/>
      <x:c r="T5" s="185"/>
      <x:c r="U5" s="188" t="str">
        <x:f>IF(OR(J5="",J5="Unknown",M5="",M5="Unknown",N5="",N5="Unknown",G5="",H5="",I5="",K5="",L5="",O5="",P5="",Q5="",R5="",S5=""),"INCOMPLETE",IF(OR(J5="No",K5&gt;D5,L5&lt;E5,N5&lt;&gt;"Yes",LEN(S5)&lt;&gt;64,AND(A5="official_calendar",M5&lt;&gt;"N/A"),AND(A5&lt;&gt;"official_calendar",M5&lt;&gt;"Yes"),AND(OR(B5="Q-SYMBOL",B5="M-SYMBOL",B5="F-SYMBOL"),O5&lt;&gt;"provider_stable_exchange_qualified_security_identifier_with_reviewed_code_change_mapping_v1"),AND(B5="Q-CLOSE",O5&lt;&gt;"close=close_raw*adjustment_factor"),AND(B5="Q-ADJ-METHOD",O5&lt;&gt;"close_equals_close_raw_times_adjustment_factor"),AND(B5="Q-ADJ-CONVENTION",O5&lt;&gt;"provider_cumulative_backward_adjusted_hfq_no_rebasing"),AND(B5="Q-AMOUNT-UNIT",O5&lt;&gt;"CNY"),AND(B5="M-TERMINAL",O5&lt;&gt;"2023-01-31"),AND(OR(B5="Q-CLOSE-RAW",B5="Q-ADJ-FACTOR",B5="Q-CLOSE"),COUNTIF($S$5:$S$7,S5)&lt;&gt;1)),"BLOCKED",IF(J5="Partial","REVIEW","DOCUMENTED")))</x:f>
        <x:v>INCOMPLETE</x:v>
      </x:c>
    </x:row>
    <x:row r="6" ht="43.5" customHeight="1">
      <x:c r="A6" s="194" t="str">
        <x:v>quotes</x:v>
      </x:c>
      <x:c r="B6" s="194" t="str">
        <x:v>Q-ADJ-FACTOR</x:v>
      </x:c>
      <x:c r="C6" s="194" t="str">
        <x:v>adjustment_factor</x:v>
      </x:c>
      <x:c r="D6" s="196" t="n">
        <x:v>39814</x:v>
      </x:c>
      <x:c r="E6" s="196" t="n">
        <x:v>44957</x:v>
      </x:c>
      <x:c r="F6" s="194" t="str">
        <x:v>Finite positive provider cumulative corporate-action factor, exact symbol/session alignment, no fill, delivered without rebasing; separately hash-evidenced definition.</x:v>
      </x:c>
      <x:c r="G6" s="194"/>
      <x:c r="H6" s="194"/>
      <x:c r="I6" s="194"/>
      <x:c r="J6" s="194" t="str">
        <x:v>Unknown</x:v>
      </x:c>
      <x:c r="K6" s="194"/>
      <x:c r="L6" s="194"/>
      <x:c r="M6" s="194" t="str">
        <x:v>Unknown</x:v>
      </x:c>
      <x:c r="N6" s="194" t="str">
        <x:v>Unknown</x:v>
      </x:c>
      <x:c r="O6" s="194"/>
      <x:c r="P6" s="194"/>
      <x:c r="Q6" s="194"/>
      <x:c r="R6" s="194"/>
      <x:c r="S6" s="194"/>
      <x:c r="T6" s="194"/>
      <x:c r="U6" s="188" t="str">
        <x:f>IF(OR(J6="",J6="Unknown",M6="",M6="Unknown",N6="",N6="Unknown",G6="",H6="",I6="",K6="",L6="",O6="",P6="",Q6="",R6="",S6=""),"INCOMPLETE",IF(OR(J6="No",K6&gt;D6,L6&lt;E6,N6&lt;&gt;"Yes",LEN(S6)&lt;&gt;64,AND(A6="official_calendar",M6&lt;&gt;"N/A"),AND(A6&lt;&gt;"official_calendar",M6&lt;&gt;"Yes"),AND(OR(B6="Q-SYMBOL",B6="M-SYMBOL",B6="F-SYMBOL"),O6&lt;&gt;"provider_stable_exchange_qualified_security_identifier_with_reviewed_code_change_mapping_v1"),AND(B6="Q-CLOSE",O6&lt;&gt;"close=close_raw*adjustment_factor"),AND(B6="Q-ADJ-METHOD",O6&lt;&gt;"close_equals_close_raw_times_adjustment_factor"),AND(B6="Q-ADJ-CONVENTION",O6&lt;&gt;"provider_cumulative_backward_adjusted_hfq_no_rebasing"),AND(B6="Q-AMOUNT-UNIT",O6&lt;&gt;"CNY"),AND(B6="M-TERMINAL",O6&lt;&gt;"2023-01-31"),AND(OR(B6="Q-CLOSE-RAW",B6="Q-ADJ-FACTOR",B6="Q-CLOSE"),COUNTIF($S$5:$S$7,S6)&lt;&gt;1)),"BLOCKED",IF(J6="Partial","REVIEW","DOCUMENTED")))</x:f>
        <x:v>INCOMPLETE</x:v>
      </x:c>
    </x:row>
    <x:row r="7" ht="43.5" customHeight="1">
      <x:c r="A7" s="185" t="str">
        <x:v>quotes</x:v>
      </x:c>
      <x:c r="B7" s="185" t="str">
        <x:v>Q-CLOSE</x:v>
      </x:c>
      <x:c r="C7" s="185" t="str">
        <x:v>close</x:v>
      </x:c>
      <x:c r="D7" s="195" t="n">
        <x:v>39814</x:v>
      </x:c>
      <x:c r="E7" s="195" t="n">
        <x:v>44957</x:v>
      </x:c>
      <x:c r="F7" s="185" t="str">
        <x:v>Materialized before input hashing and mechanically equal to close=close_raw*adjustment_factor within 1e-12 relative and absolute tolerances; normalization/adapter evidence hash must be distinct from raw-close and factor-definition hashes.</x:v>
      </x:c>
      <x:c r="G7" s="185"/>
      <x:c r="H7" s="185"/>
      <x:c r="I7" s="185"/>
      <x:c r="J7" s="185" t="str">
        <x:v>Unknown</x:v>
      </x:c>
      <x:c r="K7" s="185"/>
      <x:c r="L7" s="185"/>
      <x:c r="M7" s="185" t="str">
        <x:v>Unknown</x:v>
      </x:c>
      <x:c r="N7" s="185" t="str">
        <x:v>Unknown</x:v>
      </x:c>
      <x:c r="O7" s="185"/>
      <x:c r="P7" s="185"/>
      <x:c r="Q7" s="185"/>
      <x:c r="R7" s="185"/>
      <x:c r="S7" s="185"/>
      <x:c r="T7" s="185"/>
      <x:c r="U7" s="188" t="str">
        <x:f>IF(OR(J7="",J7="Unknown",M7="",M7="Unknown",N7="",N7="Unknown",G7="",H7="",I7="",K7="",L7="",O7="",P7="",Q7="",R7="",S7=""),"INCOMPLETE",IF(OR(J7="No",K7&gt;D7,L7&lt;E7,N7&lt;&gt;"Yes",LEN(S7)&lt;&gt;64,AND(A7="official_calendar",M7&lt;&gt;"N/A"),AND(A7&lt;&gt;"official_calendar",M7&lt;&gt;"Yes"),AND(OR(B7="Q-SYMBOL",B7="M-SYMBOL",B7="F-SYMBOL"),O7&lt;&gt;"provider_stable_exchange_qualified_security_identifier_with_reviewed_code_change_mapping_v1"),AND(B7="Q-CLOSE",O7&lt;&gt;"close=close_raw*adjustment_factor"),AND(B7="Q-ADJ-METHOD",O7&lt;&gt;"close_equals_close_raw_times_adjustment_factor"),AND(B7="Q-ADJ-CONVENTION",O7&lt;&gt;"provider_cumulative_backward_adjusted_hfq_no_rebasing"),AND(B7="Q-AMOUNT-UNIT",O7&lt;&gt;"CNY"),AND(B7="M-TERMINAL",O7&lt;&gt;"2023-01-31"),AND(OR(B7="Q-CLOSE-RAW",B7="Q-ADJ-FACTOR",B7="Q-CLOSE"),COUNTIF($S$5:$S$7,S7)&lt;&gt;1)),"BLOCKED",IF(J7="Partial","REVIEW","DOCUMENTED")))</x:f>
        <x:v>INCOMPLETE</x:v>
      </x:c>
    </x:row>
    <x:row r="8" ht="43.5" customHeight="1">
      <x:c r="A8" s="194" t="str">
        <x:v>quotes</x:v>
      </x:c>
      <x:c r="B8" s="194" t="str">
        <x:v>Q-ADJ-METHOD</x:v>
      </x:c>
      <x:c r="C8" s="194" t="str">
        <x:v>price_adjustment_method</x:v>
      </x:c>
      <x:c r="D8" s="196" t="n">
        <x:v>39814</x:v>
      </x:c>
      <x:c r="E8" s="196" t="n">
        <x:v>44957</x:v>
      </x:c>
      <x:c r="F8" s="194" t="str">
        <x:v>Every row carries exact token close_equals_close_raw_times_adjustment_factor.</x:v>
      </x:c>
      <x:c r="G8" s="194"/>
      <x:c r="H8" s="194"/>
      <x:c r="I8" s="194"/>
      <x:c r="J8" s="194" t="str">
        <x:v>Unknown</x:v>
      </x:c>
      <x:c r="K8" s="194"/>
      <x:c r="L8" s="194"/>
      <x:c r="M8" s="194" t="str">
        <x:v>Unknown</x:v>
      </x:c>
      <x:c r="N8" s="194" t="str">
        <x:v>Unknown</x:v>
      </x:c>
      <x:c r="O8" s="194"/>
      <x:c r="P8" s="194"/>
      <x:c r="Q8" s="194"/>
      <x:c r="R8" s="194"/>
      <x:c r="S8" s="194"/>
      <x:c r="T8" s="194"/>
      <x:c r="U8" s="188" t="str">
        <x:f>IF(OR(J8="",J8="Unknown",M8="",M8="Unknown",N8="",N8="Unknown",G8="",H8="",I8="",K8="",L8="",O8="",P8="",Q8="",R8="",S8=""),"INCOMPLETE",IF(OR(J8="No",K8&gt;D8,L8&lt;E8,N8&lt;&gt;"Yes",LEN(S8)&lt;&gt;64,AND(A8="official_calendar",M8&lt;&gt;"N/A"),AND(A8&lt;&gt;"official_calendar",M8&lt;&gt;"Yes"),AND(OR(B8="Q-SYMBOL",B8="M-SYMBOL",B8="F-SYMBOL"),O8&lt;&gt;"provider_stable_exchange_qualified_security_identifier_with_reviewed_code_change_mapping_v1"),AND(B8="Q-CLOSE",O8&lt;&gt;"close=close_raw*adjustment_factor"),AND(B8="Q-ADJ-METHOD",O8&lt;&gt;"close_equals_close_raw_times_adjustment_factor"),AND(B8="Q-ADJ-CONVENTION",O8&lt;&gt;"provider_cumulative_backward_adjusted_hfq_no_rebasing"),AND(B8="Q-AMOUNT-UNIT",O8&lt;&gt;"CNY"),AND(B8="M-TERMINAL",O8&lt;&gt;"2023-01-31"),AND(OR(B8="Q-CLOSE-RAW",B8="Q-ADJ-FACTOR",B8="Q-CLOSE"),COUNTIF($S$5:$S$7,S8)&lt;&gt;1)),"BLOCKED",IF(J8="Partial","REVIEW","DOCUMENTED")))</x:f>
        <x:v>INCOMPLETE</x:v>
      </x:c>
    </x:row>
    <x:row r="9" ht="43.5" customHeight="1">
      <x:c r="A9" s="185" t="str">
        <x:v>quotes</x:v>
      </x:c>
      <x:c r="B9" s="185" t="str">
        <x:v>Q-ADJ-CONVENTION</x:v>
      </x:c>
      <x:c r="C9" s="185" t="str">
        <x:v>price_adjustment_convention</x:v>
      </x:c>
      <x:c r="D9" s="195" t="n">
        <x:v>39814</x:v>
      </x:c>
      <x:c r="E9" s="195" t="n">
        <x:v>44957</x:v>
      </x:c>
      <x:c r="F9" s="185" t="str">
        <x:v>Every row carries exact token provider_cumulative_backward_adjusted_hfq_no_rebasing; provider cumulative factor is used as delivered with no rebasing.</x:v>
      </x:c>
      <x:c r="G9" s="185"/>
      <x:c r="H9" s="185"/>
      <x:c r="I9" s="185"/>
      <x:c r="J9" s="185" t="str">
        <x:v>Unknown</x:v>
      </x:c>
      <x:c r="K9" s="185"/>
      <x:c r="L9" s="185"/>
      <x:c r="M9" s="185" t="str">
        <x:v>Unknown</x:v>
      </x:c>
      <x:c r="N9" s="185" t="str">
        <x:v>Unknown</x:v>
      </x:c>
      <x:c r="O9" s="185"/>
      <x:c r="P9" s="185"/>
      <x:c r="Q9" s="185"/>
      <x:c r="R9" s="185"/>
      <x:c r="S9" s="185"/>
      <x:c r="T9" s="185"/>
      <x:c r="U9" s="188" t="str">
        <x:f>IF(OR(J9="",J9="Unknown",M9="",M9="Unknown",N9="",N9="Unknown",G9="",H9="",I9="",K9="",L9="",O9="",P9="",Q9="",R9="",S9=""),"INCOMPLETE",IF(OR(J9="No",K9&gt;D9,L9&lt;E9,N9&lt;&gt;"Yes",LEN(S9)&lt;&gt;64,AND(A9="official_calendar",M9&lt;&gt;"N/A"),AND(A9&lt;&gt;"official_calendar",M9&lt;&gt;"Yes"),AND(OR(B9="Q-SYMBOL",B9="M-SYMBOL",B9="F-SYMBOL"),O9&lt;&gt;"provider_stable_exchange_qualified_security_identifier_with_reviewed_code_change_mapping_v1"),AND(B9="Q-CLOSE",O9&lt;&gt;"close=close_raw*adjustment_factor"),AND(B9="Q-ADJ-METHOD",O9&lt;&gt;"close_equals_close_raw_times_adjustment_factor"),AND(B9="Q-ADJ-CONVENTION",O9&lt;&gt;"provider_cumulative_backward_adjusted_hfq_no_rebasing"),AND(B9="Q-AMOUNT-UNIT",O9&lt;&gt;"CNY"),AND(B9="M-TERMINAL",O9&lt;&gt;"2023-01-31"),AND(OR(B9="Q-CLOSE-RAW",B9="Q-ADJ-FACTOR",B9="Q-CLOSE"),COUNTIF($S$5:$S$7,S9)&lt;&gt;1)),"BLOCKED",IF(J9="Partial","REVIEW","DOCUMENTED")))</x:f>
        <x:v>INCOMPLETE</x:v>
      </x:c>
    </x:row>
    <x:row r="10" ht="43.5" customHeight="1">
      <x:c r="A10" s="194" t="str">
        <x:v>quotes</x:v>
      </x:c>
      <x:c r="B10" s="194" t="str">
        <x:v>Q-CLOSE-TYPE</x:v>
      </x:c>
      <x:c r="C10" s="194" t="str">
        <x:v>close_observation_type</x:v>
      </x:c>
      <x:c r="D10" s="196" t="n">
        <x:v>39814</x:v>
      </x:c>
      <x:c r="E10" s="196" t="n">
        <x:v>44957</x:v>
      </x:c>
      <x:c r="F10" s="194" t="str">
        <x:v>Exact traded_close iff is_suspended=false; exact suspension_valuation iff true. Each suspension valuation is supplier recorded/published for that official session; researcher forward fill is forbidden.</x:v>
      </x:c>
      <x:c r="G10" s="194"/>
      <x:c r="H10" s="194"/>
      <x:c r="I10" s="194"/>
      <x:c r="J10" s="194" t="str">
        <x:v>Unknown</x:v>
      </x:c>
      <x:c r="K10" s="194"/>
      <x:c r="L10" s="194"/>
      <x:c r="M10" s="194" t="str">
        <x:v>Unknown</x:v>
      </x:c>
      <x:c r="N10" s="194" t="str">
        <x:v>Unknown</x:v>
      </x:c>
      <x:c r="O10" s="194"/>
      <x:c r="P10" s="194"/>
      <x:c r="Q10" s="194"/>
      <x:c r="R10" s="194"/>
      <x:c r="S10" s="194"/>
      <x:c r="T10" s="194"/>
      <x:c r="U10" s="188" t="str">
        <x:f>IF(OR(J10="",J10="Unknown",M10="",M10="Unknown",N10="",N10="Unknown",G10="",H10="",I10="",K10="",L10="",O10="",P10="",Q10="",R10="",S10=""),"INCOMPLETE",IF(OR(J10="No",K10&gt;D10,L10&lt;E10,N10&lt;&gt;"Yes",LEN(S10)&lt;&gt;64,AND(A10="official_calendar",M10&lt;&gt;"N/A"),AND(A10&lt;&gt;"official_calendar",M10&lt;&gt;"Yes"),AND(OR(B10="Q-SYMBOL",B10="M-SYMBOL",B10="F-SYMBOL"),O10&lt;&gt;"provider_stable_exchange_qualified_security_identifier_with_reviewed_code_change_mapping_v1"),AND(B10="Q-CLOSE",O10&lt;&gt;"close=close_raw*adjustment_factor"),AND(B10="Q-ADJ-METHOD",O10&lt;&gt;"close_equals_close_raw_times_adjustment_factor"),AND(B10="Q-ADJ-CONVENTION",O10&lt;&gt;"provider_cumulative_backward_adjusted_hfq_no_rebasing"),AND(B10="Q-AMOUNT-UNIT",O10&lt;&gt;"CNY"),AND(B10="M-TERMINAL",O10&lt;&gt;"2023-01-31"),AND(OR(B10="Q-CLOSE-RAW",B10="Q-ADJ-FACTOR",B10="Q-CLOSE"),COUNTIF($S$5:$S$7,S10)&lt;&gt;1)),"BLOCKED",IF(J10="Partial","REVIEW","DOCUMENTED")))</x:f>
        <x:v>INCOMPLETE</x:v>
      </x:c>
    </x:row>
    <x:row r="11" ht="43.5" customHeight="1">
      <x:c r="A11" s="185" t="str">
        <x:v>quotes</x:v>
      </x:c>
      <x:c r="B11" s="185" t="str">
        <x:v>Q-AMOUNT</x:v>
      </x:c>
      <x:c r="C11" s="185" t="str">
        <x:v>amount</x:v>
      </x:c>
      <x:c r="D11" s="195" t="n">
        <x:v>39814</x:v>
      </x:c>
      <x:c r="E11" s="195" t="n">
        <x:v>44957</x:v>
      </x:c>
      <x:c r="F11" s="185" t="str">
        <x:v>Finite non-negative daily traded value normalized from the documented provider-native unit into CNY before raw-input hashing; conversion method, cutoff and provenance are separately hash-evidenced.</x:v>
      </x:c>
      <x:c r="G11" s="185"/>
      <x:c r="H11" s="185"/>
      <x:c r="I11" s="185"/>
      <x:c r="J11" s="185" t="str">
        <x:v>Unknown</x:v>
      </x:c>
      <x:c r="K11" s="185"/>
      <x:c r="L11" s="185"/>
      <x:c r="M11" s="185" t="str">
        <x:v>Unknown</x:v>
      </x:c>
      <x:c r="N11" s="185" t="str">
        <x:v>Unknown</x:v>
      </x:c>
      <x:c r="O11" s="185"/>
      <x:c r="P11" s="185"/>
      <x:c r="Q11" s="185"/>
      <x:c r="R11" s="185"/>
      <x:c r="S11" s="185"/>
      <x:c r="T11" s="185"/>
      <x:c r="U11" s="188" t="str">
        <x:f>IF(OR(J11="",J11="Unknown",M11="",M11="Unknown",N11="",N11="Unknown",G11="",H11="",I11="",K11="",L11="",O11="",P11="",Q11="",R11="",S11=""),"INCOMPLETE",IF(OR(J11="No",K11&gt;D11,L11&lt;E11,N11&lt;&gt;"Yes",LEN(S11)&lt;&gt;64,AND(A11="official_calendar",M11&lt;&gt;"N/A"),AND(A11&lt;&gt;"official_calendar",M11&lt;&gt;"Yes"),AND(OR(B11="Q-SYMBOL",B11="M-SYMBOL",B11="F-SYMBOL"),O11&lt;&gt;"provider_stable_exchange_qualified_security_identifier_with_reviewed_code_change_mapping_v1"),AND(B11="Q-CLOSE",O11&lt;&gt;"close=close_raw*adjustment_factor"),AND(B11="Q-ADJ-METHOD",O11&lt;&gt;"close_equals_close_raw_times_adjustment_factor"),AND(B11="Q-ADJ-CONVENTION",O11&lt;&gt;"provider_cumulative_backward_adjusted_hfq_no_rebasing"),AND(B11="Q-AMOUNT-UNIT",O11&lt;&gt;"CNY"),AND(B11="M-TERMINAL",O11&lt;&gt;"2023-01-31"),AND(OR(B11="Q-CLOSE-RAW",B11="Q-ADJ-FACTOR",B11="Q-CLOSE"),COUNTIF($S$5:$S$7,S11)&lt;&gt;1)),"BLOCKED",IF(J11="Partial","REVIEW","DOCUMENTED")))</x:f>
        <x:v>INCOMPLETE</x:v>
      </x:c>
    </x:row>
    <x:row r="12" ht="43.5" customHeight="1">
      <x:c r="A12" s="194" t="str">
        <x:v>quotes</x:v>
      </x:c>
      <x:c r="B12" s="194" t="str">
        <x:v>Q-AMOUNT-UNIT</x:v>
      </x:c>
      <x:c r="C12" s="194" t="str">
        <x:v>amount_unit</x:v>
      </x:c>
      <x:c r="D12" s="196" t="n">
        <x:v>39814</x:v>
      </x:c>
      <x:c r="E12" s="196" t="n">
        <x:v>44957</x:v>
      </x:c>
      <x:c r="F12" s="194" t="str">
        <x:v>Every canonical quote row carries the exact case-sensitive value CNY.</x:v>
      </x:c>
      <x:c r="G12" s="194"/>
      <x:c r="H12" s="194"/>
      <x:c r="I12" s="194"/>
      <x:c r="J12" s="194" t="str">
        <x:v>Unknown</x:v>
      </x:c>
      <x:c r="K12" s="194"/>
      <x:c r="L12" s="194"/>
      <x:c r="M12" s="194" t="str">
        <x:v>Unknown</x:v>
      </x:c>
      <x:c r="N12" s="194" t="str">
        <x:v>Unknown</x:v>
      </x:c>
      <x:c r="O12" s="194"/>
      <x:c r="P12" s="194"/>
      <x:c r="Q12" s="194"/>
      <x:c r="R12" s="194"/>
      <x:c r="S12" s="194"/>
      <x:c r="T12" s="194"/>
      <x:c r="U12" s="188" t="str">
        <x:f>IF(OR(J12="",J12="Unknown",M12="",M12="Unknown",N12="",N12="Unknown",G12="",H12="",I12="",K12="",L12="",O12="",P12="",Q12="",R12="",S12=""),"INCOMPLETE",IF(OR(J12="No",K12&gt;D12,L12&lt;E12,N12&lt;&gt;"Yes",LEN(S12)&lt;&gt;64,AND(A12="official_calendar",M12&lt;&gt;"N/A"),AND(A12&lt;&gt;"official_calendar",M12&lt;&gt;"Yes"),AND(OR(B12="Q-SYMBOL",B12="M-SYMBOL",B12="F-SYMBOL"),O12&lt;&gt;"provider_stable_exchange_qualified_security_identifier_with_reviewed_code_change_mapping_v1"),AND(B12="Q-CLOSE",O12&lt;&gt;"close=close_raw*adjustment_factor"),AND(B12="Q-ADJ-METHOD",O12&lt;&gt;"close_equals_close_raw_times_adjustment_factor"),AND(B12="Q-ADJ-CONVENTION",O12&lt;&gt;"provider_cumulative_backward_adjusted_hfq_no_rebasing"),AND(B12="Q-AMOUNT-UNIT",O12&lt;&gt;"CNY"),AND(B12="M-TERMINAL",O12&lt;&gt;"2023-01-31"),AND(OR(B12="Q-CLOSE-RAW",B12="Q-ADJ-FACTOR",B12="Q-CLOSE"),COUNTIF($S$5:$S$7,S12)&lt;&gt;1)),"BLOCKED",IF(J12="Partial","REVIEW","DOCUMENTED")))</x:f>
        <x:v>INCOMPLETE</x:v>
      </x:c>
    </x:row>
    <x:row r="13" ht="43.5" customHeight="1">
      <x:c r="A13" s="185" t="str">
        <x:v>quotes</x:v>
      </x:c>
      <x:c r="B13" s="185" t="str">
        <x:v>Q-ST</x:v>
      </x:c>
      <x:c r="C13" s="185" t="str">
        <x:v>is_st</x:v>
      </x:c>
      <x:c r="D13" s="195" t="n">
        <x:v>39814</x:v>
      </x:c>
      <x:c r="E13" s="195" t="n">
        <x:v>44957</x:v>
      </x:c>
      <x:c r="F13" s="185" t="str">
        <x:v>Historical effective-date risk-warning state with explicit true and false values; non-degenerate in the accepted panel.</x:v>
      </x:c>
      <x:c r="G13" s="185"/>
      <x:c r="H13" s="185"/>
      <x:c r="I13" s="185"/>
      <x:c r="J13" s="185" t="str">
        <x:v>Unknown</x:v>
      </x:c>
      <x:c r="K13" s="185"/>
      <x:c r="L13" s="185"/>
      <x:c r="M13" s="185" t="str">
        <x:v>Unknown</x:v>
      </x:c>
      <x:c r="N13" s="185" t="str">
        <x:v>Unknown</x:v>
      </x:c>
      <x:c r="O13" s="185"/>
      <x:c r="P13" s="185"/>
      <x:c r="Q13" s="185"/>
      <x:c r="R13" s="185"/>
      <x:c r="S13" s="185"/>
      <x:c r="T13" s="185"/>
      <x:c r="U13" s="188" t="str">
        <x:f>IF(OR(J13="",J13="Unknown",M13="",M13="Unknown",N13="",N13="Unknown",G13="",H13="",I13="",K13="",L13="",O13="",P13="",Q13="",R13="",S13=""),"INCOMPLETE",IF(OR(J13="No",K13&gt;D13,L13&lt;E13,N13&lt;&gt;"Yes",LEN(S13)&lt;&gt;64,AND(A13="official_calendar",M13&lt;&gt;"N/A"),AND(A13&lt;&gt;"official_calendar",M13&lt;&gt;"Yes"),AND(OR(B13="Q-SYMBOL",B13="M-SYMBOL",B13="F-SYMBOL"),O13&lt;&gt;"provider_stable_exchange_qualified_security_identifier_with_reviewed_code_change_mapping_v1"),AND(B13="Q-CLOSE",O13&lt;&gt;"close=close_raw*adjustment_factor"),AND(B13="Q-ADJ-METHOD",O13&lt;&gt;"close_equals_close_raw_times_adjustment_factor"),AND(B13="Q-ADJ-CONVENTION",O13&lt;&gt;"provider_cumulative_backward_adjusted_hfq_no_rebasing"),AND(B13="Q-AMOUNT-UNIT",O13&lt;&gt;"CNY"),AND(B13="M-TERMINAL",O13&lt;&gt;"2023-01-31"),AND(OR(B13="Q-CLOSE-RAW",B13="Q-ADJ-FACTOR",B13="Q-CLOSE"),COUNTIF($S$5:$S$7,S13)&lt;&gt;1)),"BLOCKED",IF(J13="Partial","REVIEW","DOCUMENTED")))</x:f>
        <x:v>INCOMPLETE</x:v>
      </x:c>
    </x:row>
    <x:row r="14" ht="43.5" customHeight="1">
      <x:c r="A14" s="194" t="str">
        <x:v>quotes</x:v>
      </x:c>
      <x:c r="B14" s="194" t="str">
        <x:v>Q-SUSP</x:v>
      </x:c>
      <x:c r="C14" s="194" t="str">
        <x:v>is_suspended</x:v>
      </x:c>
      <x:c r="D14" s="196" t="n">
        <x:v>39814</x:v>
      </x:c>
      <x:c r="E14" s="196" t="n">
        <x:v>44957</x:v>
      </x:c>
      <x:c r="F14" s="194" t="str">
        <x:v>Historical daily suspension state with explicit true and false values; absence is not mapped to false without verified complete-universe evidence.</x:v>
      </x:c>
      <x:c r="G14" s="194"/>
      <x:c r="H14" s="194"/>
      <x:c r="I14" s="194"/>
      <x:c r="J14" s="194" t="str">
        <x:v>Unknown</x:v>
      </x:c>
      <x:c r="K14" s="194"/>
      <x:c r="L14" s="194"/>
      <x:c r="M14" s="194" t="str">
        <x:v>Unknown</x:v>
      </x:c>
      <x:c r="N14" s="194" t="str">
        <x:v>Unknown</x:v>
      </x:c>
      <x:c r="O14" s="194"/>
      <x:c r="P14" s="194"/>
      <x:c r="Q14" s="194"/>
      <x:c r="R14" s="194"/>
      <x:c r="S14" s="194"/>
      <x:c r="T14" s="194"/>
      <x:c r="U14" s="188" t="str">
        <x:f>IF(OR(J14="",J14="Unknown",M14="",M14="Unknown",N14="",N14="Unknown",G14="",H14="",I14="",K14="",L14="",O14="",P14="",Q14="",R14="",S14=""),"INCOMPLETE",IF(OR(J14="No",K14&gt;D14,L14&lt;E14,N14&lt;&gt;"Yes",LEN(S14)&lt;&gt;64,AND(A14="official_calendar",M14&lt;&gt;"N/A"),AND(A14&lt;&gt;"official_calendar",M14&lt;&gt;"Yes"),AND(OR(B14="Q-SYMBOL",B14="M-SYMBOL",B14="F-SYMBOL"),O14&lt;&gt;"provider_stable_exchange_qualified_security_identifier_with_reviewed_code_change_mapping_v1"),AND(B14="Q-CLOSE",O14&lt;&gt;"close=close_raw*adjustment_factor"),AND(B14="Q-ADJ-METHOD",O14&lt;&gt;"close_equals_close_raw_times_adjustment_factor"),AND(B14="Q-ADJ-CONVENTION",O14&lt;&gt;"provider_cumulative_backward_adjusted_hfq_no_rebasing"),AND(B14="Q-AMOUNT-UNIT",O14&lt;&gt;"CNY"),AND(B14="M-TERMINAL",O14&lt;&gt;"2023-01-31"),AND(OR(B14="Q-CLOSE-RAW",B14="Q-ADJ-FACTOR",B14="Q-CLOSE"),COUNTIF($S$5:$S$7,S14)&lt;&gt;1)),"BLOCKED",IF(J14="Partial","REVIEW","DOCUMENTED")))</x:f>
        <x:v>INCOMPLETE</x:v>
      </x:c>
    </x:row>
    <x:row r="15" ht="43.5" customHeight="1">
      <x:c r="A15" s="185" t="str">
        <x:v>stock_master</x:v>
      </x:c>
      <x:c r="B15" s="185" t="str">
        <x:v>M-SYMBOL</x:v>
      </x:c>
      <x:c r="C15" s="185" t="str">
        <x:v>symbol</x:v>
      </x:c>
      <x:c r="D15" s="195" t="n">
        <x:v>32874</x:v>
      </x:c>
      <x:c r="E15" s="195" t="n">
        <x:v>44957</x:v>
      </x:c>
      <x:c r="F15" s="185" t="str">
        <x:v>Provider-stable identity matching quotes and fundamentals under exact contract token provider_stable_exchange_qualified_security_identifier_with_reviewed_code_change_mapping_v1; provider identifier definition has its own evidence hash.</x:v>
      </x:c>
      <x:c r="G15" s="185"/>
      <x:c r="H15" s="185"/>
      <x:c r="I15" s="185"/>
      <x:c r="J15" s="185" t="str">
        <x:v>Unknown</x:v>
      </x:c>
      <x:c r="K15" s="185"/>
      <x:c r="L15" s="185"/>
      <x:c r="M15" s="185" t="str">
        <x:v>Unknown</x:v>
      </x:c>
      <x:c r="N15" s="185" t="str">
        <x:v>Unknown</x:v>
      </x:c>
      <x:c r="O15" s="185"/>
      <x:c r="P15" s="185"/>
      <x:c r="Q15" s="185"/>
      <x:c r="R15" s="185"/>
      <x:c r="S15" s="185"/>
      <x:c r="T15" s="185"/>
      <x:c r="U15" s="188" t="str">
        <x:f>IF(OR(J15="",J15="Unknown",M15="",M15="Unknown",N15="",N15="Unknown",G15="",H15="",I15="",K15="",L15="",O15="",P15="",Q15="",R15="",S15=""),"INCOMPLETE",IF(OR(J15="No",K15&gt;D15,L15&lt;E15,N15&lt;&gt;"Yes",LEN(S15)&lt;&gt;64,AND(A15="official_calendar",M15&lt;&gt;"N/A"),AND(A15&lt;&gt;"official_calendar",M15&lt;&gt;"Yes"),AND(OR(B15="Q-SYMBOL",B15="M-SYMBOL",B15="F-SYMBOL"),O15&lt;&gt;"provider_stable_exchange_qualified_security_identifier_with_reviewed_code_change_mapping_v1"),AND(B15="Q-CLOSE",O15&lt;&gt;"close=close_raw*adjustment_factor"),AND(B15="Q-ADJ-METHOD",O15&lt;&gt;"close_equals_close_raw_times_adjustment_factor"),AND(B15="Q-ADJ-CONVENTION",O15&lt;&gt;"provider_cumulative_backward_adjusted_hfq_no_rebasing"),AND(B15="Q-AMOUNT-UNIT",O15&lt;&gt;"CNY"),AND(B15="M-TERMINAL",O15&lt;&gt;"2023-01-31"),AND(OR(B15="Q-CLOSE-RAW",B15="Q-ADJ-FACTOR",B15="Q-CLOSE"),COUNTIF($S$5:$S$7,S15)&lt;&gt;1)),"BLOCKED",IF(J15="Partial","REVIEW","DOCUMENTED")))</x:f>
        <x:v>INCOMPLETE</x:v>
      </x:c>
    </x:row>
    <x:row r="16" ht="43.5" customHeight="1">
      <x:c r="A16" s="194" t="str">
        <x:v>stock_master</x:v>
      </x:c>
      <x:c r="B16" s="194" t="str">
        <x:v>M-CODE-MAP</x:v>
      </x:c>
      <x:c r="C16" s="194" t="str">
        <x:v>historical_code_change_mapping</x:v>
      </x:c>
      <x:c r="D16" s="196" t="n">
        <x:v>32874</x:v>
      </x:c>
      <x:c r="E16" s="196" t="n">
        <x:v>44957</x:v>
      </x:c>
      <x:c r="F16" s="194" t="str">
        <x:v>Every historical code change or reassignment is resolved by a documented provider mapping before input hashing; mapping evidence is separately hash-bound.</x:v>
      </x:c>
      <x:c r="G16" s="194"/>
      <x:c r="H16" s="194"/>
      <x:c r="I16" s="194"/>
      <x:c r="J16" s="194" t="str">
        <x:v>Unknown</x:v>
      </x:c>
      <x:c r="K16" s="194"/>
      <x:c r="L16" s="194"/>
      <x:c r="M16" s="194" t="str">
        <x:v>Unknown</x:v>
      </x:c>
      <x:c r="N16" s="194" t="str">
        <x:v>Unknown</x:v>
      </x:c>
      <x:c r="O16" s="194"/>
      <x:c r="P16" s="194"/>
      <x:c r="Q16" s="194"/>
      <x:c r="R16" s="194"/>
      <x:c r="S16" s="194"/>
      <x:c r="T16" s="194"/>
      <x:c r="U16" s="188" t="str">
        <x:f>IF(OR(J16="",J16="Unknown",M16="",M16="Unknown",N16="",N16="Unknown",G16="",H16="",I16="",K16="",L16="",O16="",P16="",Q16="",R16="",S16=""),"INCOMPLETE",IF(OR(J16="No",K16&gt;D16,L16&lt;E16,N16&lt;&gt;"Yes",LEN(S16)&lt;&gt;64,AND(A16="official_calendar",M16&lt;&gt;"N/A"),AND(A16&lt;&gt;"official_calendar",M16&lt;&gt;"Yes"),AND(OR(B16="Q-SYMBOL",B16="M-SYMBOL",B16="F-SYMBOL"),O16&lt;&gt;"provider_stable_exchange_qualified_security_identifier_with_reviewed_code_change_mapping_v1"),AND(B16="Q-CLOSE",O16&lt;&gt;"close=close_raw*adjustment_factor"),AND(B16="Q-ADJ-METHOD",O16&lt;&gt;"close_equals_close_raw_times_adjustment_factor"),AND(B16="Q-ADJ-CONVENTION",O16&lt;&gt;"provider_cumulative_backward_adjusted_hfq_no_rebasing"),AND(B16="Q-AMOUNT-UNIT",O16&lt;&gt;"CNY"),AND(B16="M-TERMINAL",O16&lt;&gt;"2023-01-31"),AND(OR(B16="Q-CLOSE-RAW",B16="Q-ADJ-FACTOR",B16="Q-CLOSE"),COUNTIF($S$5:$S$7,S16)&lt;&gt;1)),"BLOCKED",IF(J16="Partial","REVIEW","DOCUMENTED")))</x:f>
        <x:v>INCOMPLETE</x:v>
      </x:c>
    </x:row>
    <x:row r="17" ht="43.5" customHeight="1">
      <x:c r="A17" s="185" t="str">
        <x:v>stock_master</x:v>
      </x:c>
      <x:c r="B17" s="185" t="str">
        <x:v>M-LIST</x:v>
      </x:c>
      <x:c r="C17" s="185" t="str">
        <x:v>listDate</x:v>
      </x:c>
      <x:c r="D17" s="195" t="n">
        <x:v>32874</x:v>
      </x:c>
      <x:c r="E17" s="195" t="n">
        <x:v>44957</x:v>
      </x:c>
      <x:c r="F17" s="185" t="str">
        <x:v>Actual listing date for current and delisted securities; listDate must be on or before each signal session.</x:v>
      </x:c>
      <x:c r="G17" s="185"/>
      <x:c r="H17" s="185"/>
      <x:c r="I17" s="185"/>
      <x:c r="J17" s="185" t="str">
        <x:v>Unknown</x:v>
      </x:c>
      <x:c r="K17" s="185"/>
      <x:c r="L17" s="185"/>
      <x:c r="M17" s="185" t="str">
        <x:v>Unknown</x:v>
      </x:c>
      <x:c r="N17" s="185" t="str">
        <x:v>Unknown</x:v>
      </x:c>
      <x:c r="O17" s="185"/>
      <x:c r="P17" s="185"/>
      <x:c r="Q17" s="185"/>
      <x:c r="R17" s="185"/>
      <x:c r="S17" s="185"/>
      <x:c r="T17" s="185"/>
      <x:c r="U17" s="188" t="str">
        <x:f>IF(OR(J17="",J17="Unknown",M17="",M17="Unknown",N17="",N17="Unknown",G17="",H17="",I17="",K17="",L17="",O17="",P17="",Q17="",R17="",S17=""),"INCOMPLETE",IF(OR(J17="No",K17&gt;D17,L17&lt;E17,N17&lt;&gt;"Yes",LEN(S17)&lt;&gt;64,AND(A17="official_calendar",M17&lt;&gt;"N/A"),AND(A17&lt;&gt;"official_calendar",M17&lt;&gt;"Yes"),AND(OR(B17="Q-SYMBOL",B17="M-SYMBOL",B17="F-SYMBOL"),O17&lt;&gt;"provider_stable_exchange_qualified_security_identifier_with_reviewed_code_change_mapping_v1"),AND(B17="Q-CLOSE",O17&lt;&gt;"close=close_raw*adjustment_factor"),AND(B17="Q-ADJ-METHOD",O17&lt;&gt;"close_equals_close_raw_times_adjustment_factor"),AND(B17="Q-ADJ-CONVENTION",O17&lt;&gt;"provider_cumulative_backward_adjusted_hfq_no_rebasing"),AND(B17="Q-AMOUNT-UNIT",O17&lt;&gt;"CNY"),AND(B17="M-TERMINAL",O17&lt;&gt;"2023-01-31"),AND(OR(B17="Q-CLOSE-RAW",B17="Q-ADJ-FACTOR",B17="Q-CLOSE"),COUNTIF($S$5:$S$7,S17)&lt;&gt;1)),"BLOCKED",IF(J17="Partial","REVIEW","DOCUMENTED")))</x:f>
        <x:v>INCOMPLETE</x:v>
      </x:c>
    </x:row>
    <x:row r="18" ht="43.5" customHeight="1">
      <x:c r="A18" s="194" t="str">
        <x:v>stock_master</x:v>
      </x:c>
      <x:c r="B18" s="194" t="str">
        <x:v>M-DELIST</x:v>
      </x:c>
      <x:c r="C18" s="194" t="str">
        <x:v>delistDate</x:v>
      </x:c>
      <x:c r="D18" s="196" t="n">
        <x:v>32874</x:v>
      </x:c>
      <x:c r="E18" s="196" t="n">
        <x:v>44957</x:v>
      </x:c>
      <x:c r="F18" s="194" t="str">
        <x:v>Actual delisting date; populated for delisted securities and null only where lifecycle semantics permit.</x:v>
      </x:c>
      <x:c r="G18" s="194"/>
      <x:c r="H18" s="194"/>
      <x:c r="I18" s="194"/>
      <x:c r="J18" s="194" t="str">
        <x:v>Unknown</x:v>
      </x:c>
      <x:c r="K18" s="194"/>
      <x:c r="L18" s="194"/>
      <x:c r="M18" s="194" t="str">
        <x:v>Unknown</x:v>
      </x:c>
      <x:c r="N18" s="194" t="str">
        <x:v>Unknown</x:v>
      </x:c>
      <x:c r="O18" s="194"/>
      <x:c r="P18" s="194"/>
      <x:c r="Q18" s="194"/>
      <x:c r="R18" s="194"/>
      <x:c r="S18" s="194"/>
      <x:c r="T18" s="194"/>
      <x:c r="U18" s="188" t="str">
        <x:f>IF(OR(J18="",J18="Unknown",M18="",M18="Unknown",N18="",N18="Unknown",G18="",H18="",I18="",K18="",L18="",O18="",P18="",Q18="",R18="",S18=""),"INCOMPLETE",IF(OR(J18="No",K18&gt;D18,L18&lt;E18,N18&lt;&gt;"Yes",LEN(S18)&lt;&gt;64,AND(A18="official_calendar",M18&lt;&gt;"N/A"),AND(A18&lt;&gt;"official_calendar",M18&lt;&gt;"Yes"),AND(OR(B18="Q-SYMBOL",B18="M-SYMBOL",B18="F-SYMBOL"),O18&lt;&gt;"provider_stable_exchange_qualified_security_identifier_with_reviewed_code_change_mapping_v1"),AND(B18="Q-CLOSE",O18&lt;&gt;"close=close_raw*adjustment_factor"),AND(B18="Q-ADJ-METHOD",O18&lt;&gt;"close_equals_close_raw_times_adjustment_factor"),AND(B18="Q-ADJ-CONVENTION",O18&lt;&gt;"provider_cumulative_backward_adjusted_hfq_no_rebasing"),AND(B18="Q-AMOUNT-UNIT",O18&lt;&gt;"CNY"),AND(B18="M-TERMINAL",O18&lt;&gt;"2023-01-31"),AND(OR(B18="Q-CLOSE-RAW",B18="Q-ADJ-FACTOR",B18="Q-CLOSE"),COUNTIF($S$5:$S$7,S18)&lt;&gt;1)),"BLOCKED",IF(J18="Partial","REVIEW","DOCUMENTED")))</x:f>
        <x:v>INCOMPLETE</x:v>
      </x:c>
    </x:row>
    <x:row r="19" ht="43.5" customHeight="1">
      <x:c r="A19" s="185" t="str">
        <x:v>stock_master</x:v>
      </x:c>
      <x:c r="B19" s="185" t="str">
        <x:v>M-STATUS</x:v>
      </x:c>
      <x:c r="C19" s="185" t="str">
        <x:v>listStatus</x:v>
      </x:c>
      <x:c r="D19" s="195" t="n">
        <x:v>32874</x:v>
      </x:c>
      <x:c r="E19" s="195" t="n">
        <x:v>44957</x:v>
      </x:c>
      <x:c r="F19" s="185" t="str">
        <x:v>Recognized historically consistent active/delisted lifecycle status; not a latest-only membership list.</x:v>
      </x:c>
      <x:c r="G19" s="185"/>
      <x:c r="H19" s="185"/>
      <x:c r="I19" s="185"/>
      <x:c r="J19" s="185" t="str">
        <x:v>Unknown</x:v>
      </x:c>
      <x:c r="K19" s="185"/>
      <x:c r="L19" s="185"/>
      <x:c r="M19" s="185" t="str">
        <x:v>Unknown</x:v>
      </x:c>
      <x:c r="N19" s="185" t="str">
        <x:v>Unknown</x:v>
      </x:c>
      <x:c r="O19" s="185"/>
      <x:c r="P19" s="185"/>
      <x:c r="Q19" s="185"/>
      <x:c r="R19" s="185"/>
      <x:c r="S19" s="185"/>
      <x:c r="T19" s="185"/>
      <x:c r="U19" s="188" t="str">
        <x:f>IF(OR(J19="",J19="Unknown",M19="",M19="Unknown",N19="",N19="Unknown",G19="",H19="",I19="",K19="",L19="",O19="",P19="",Q19="",R19="",S19=""),"INCOMPLETE",IF(OR(J19="No",K19&gt;D19,L19&lt;E19,N19&lt;&gt;"Yes",LEN(S19)&lt;&gt;64,AND(A19="official_calendar",M19&lt;&gt;"N/A"),AND(A19&lt;&gt;"official_calendar",M19&lt;&gt;"Yes"),AND(OR(B19="Q-SYMBOL",B19="M-SYMBOL",B19="F-SYMBOL"),O19&lt;&gt;"provider_stable_exchange_qualified_security_identifier_with_reviewed_code_change_mapping_v1"),AND(B19="Q-CLOSE",O19&lt;&gt;"close=close_raw*adjustment_factor"),AND(B19="Q-ADJ-METHOD",O19&lt;&gt;"close_equals_close_raw_times_adjustment_factor"),AND(B19="Q-ADJ-CONVENTION",O19&lt;&gt;"provider_cumulative_backward_adjusted_hfq_no_rebasing"),AND(B19="Q-AMOUNT-UNIT",O19&lt;&gt;"CNY"),AND(B19="M-TERMINAL",O19&lt;&gt;"2023-01-31"),AND(OR(B19="Q-CLOSE-RAW",B19="Q-ADJ-FACTOR",B19="Q-CLOSE"),COUNTIF($S$5:$S$7,S19)&lt;&gt;1)),"BLOCKED",IF(J19="Partial","REVIEW","DOCUMENTED")))</x:f>
        <x:v>INCOMPLETE</x:v>
      </x:c>
    </x:row>
    <x:row r="20" ht="43.5" customHeight="1">
      <x:c r="A20" s="194" t="str">
        <x:v>stock_master</x:v>
      </x:c>
      <x:c r="B20" s="194" t="str">
        <x:v>M-TYPE</x:v>
      </x:c>
      <x:c r="C20" s="194" t="str">
        <x:v>stockType</x:v>
      </x:c>
      <x:c r="D20" s="196" t="n">
        <x:v>32874</x:v>
      </x:c>
      <x:c r="E20" s="196" t="n">
        <x:v>44957</x:v>
      </x:c>
      <x:c r="F20" s="194" t="str">
        <x:v>Security type sufficient to identify strict Shanghai/Shenzhen A-shares; B-shares, funds and BSE securities excluded.</x:v>
      </x:c>
      <x:c r="G20" s="194"/>
      <x:c r="H20" s="194"/>
      <x:c r="I20" s="194"/>
      <x:c r="J20" s="194" t="str">
        <x:v>Unknown</x:v>
      </x:c>
      <x:c r="K20" s="194"/>
      <x:c r="L20" s="194"/>
      <x:c r="M20" s="194" t="str">
        <x:v>Unknown</x:v>
      </x:c>
      <x:c r="N20" s="194" t="str">
        <x:v>Unknown</x:v>
      </x:c>
      <x:c r="O20" s="194"/>
      <x:c r="P20" s="194"/>
      <x:c r="Q20" s="194"/>
      <x:c r="R20" s="194"/>
      <x:c r="S20" s="194"/>
      <x:c r="T20" s="194"/>
      <x:c r="U20" s="188" t="str">
        <x:f>IF(OR(J20="",J20="Unknown",M20="",M20="Unknown",N20="",N20="Unknown",G20="",H20="",I20="",K20="",L20="",O20="",P20="",Q20="",R20="",S20=""),"INCOMPLETE",IF(OR(J20="No",K20&gt;D20,L20&lt;E20,N20&lt;&gt;"Yes",LEN(S20)&lt;&gt;64,AND(A20="official_calendar",M20&lt;&gt;"N/A"),AND(A20&lt;&gt;"official_calendar",M20&lt;&gt;"Yes"),AND(OR(B20="Q-SYMBOL",B20="M-SYMBOL",B20="F-SYMBOL"),O20&lt;&gt;"provider_stable_exchange_qualified_security_identifier_with_reviewed_code_change_mapping_v1"),AND(B20="Q-CLOSE",O20&lt;&gt;"close=close_raw*adjustment_factor"),AND(B20="Q-ADJ-METHOD",O20&lt;&gt;"close_equals_close_raw_times_adjustment_factor"),AND(B20="Q-ADJ-CONVENTION",O20&lt;&gt;"provider_cumulative_backward_adjusted_hfq_no_rebasing"),AND(B20="Q-AMOUNT-UNIT",O20&lt;&gt;"CNY"),AND(B20="M-TERMINAL",O20&lt;&gt;"2023-01-31"),AND(OR(B20="Q-CLOSE-RAW",B20="Q-ADJ-FACTOR",B20="Q-CLOSE"),COUNTIF($S$5:$S$7,S20)&lt;&gt;1)),"BLOCKED",IF(J20="Partial","REVIEW","DOCUMENTED")))</x:f>
        <x:v>INCOMPLETE</x:v>
      </x:c>
    </x:row>
    <x:row r="21" ht="43.5" customHeight="1">
      <x:c r="A21" s="185" t="str">
        <x:v>stock_master</x:v>
      </x:c>
      <x:c r="B21" s="185" t="str">
        <x:v>M-TERMINAL</x:v>
      </x:c>
      <x:c r="C21" s="185" t="str">
        <x:v>terminal_survivor_cutoff</x:v>
      </x:c>
      <x:c r="D21" s="195" t="n">
        <x:v>39814</x:v>
      </x:c>
      <x:c r="E21" s="195" t="n">
        <x:v>44957</x:v>
      </x:c>
      <x:c r="F21" s="185" t="str">
        <x:v>A0 cutoff is fixed at 2023-01-31: after listing by the signal session, delistDate is null or strictly after that date, independent of extraction/acquisition date.</x:v>
      </x:c>
      <x:c r="G21" s="185"/>
      <x:c r="H21" s="185"/>
      <x:c r="I21" s="185"/>
      <x:c r="J21" s="185" t="str">
        <x:v>Unknown</x:v>
      </x:c>
      <x:c r="K21" s="185"/>
      <x:c r="L21" s="185"/>
      <x:c r="M21" s="185" t="str">
        <x:v>Unknown</x:v>
      </x:c>
      <x:c r="N21" s="185" t="str">
        <x:v>Unknown</x:v>
      </x:c>
      <x:c r="O21" s="185"/>
      <x:c r="P21" s="185"/>
      <x:c r="Q21" s="185"/>
      <x:c r="R21" s="185"/>
      <x:c r="S21" s="185"/>
      <x:c r="T21" s="185"/>
      <x:c r="U21" s="188" t="str">
        <x:f>IF(OR(J21="",J21="Unknown",M21="",M21="Unknown",N21="",N21="Unknown",G21="",H21="",I21="",K21="",L21="",O21="",P21="",Q21="",R21="",S21=""),"INCOMPLETE",IF(OR(J21="No",K21&gt;D21,L21&lt;E21,N21&lt;&gt;"Yes",LEN(S21)&lt;&gt;64,AND(A21="official_calendar",M21&lt;&gt;"N/A"),AND(A21&lt;&gt;"official_calendar",M21&lt;&gt;"Yes"),AND(OR(B21="Q-SYMBOL",B21="M-SYMBOL",B21="F-SYMBOL"),O21&lt;&gt;"provider_stable_exchange_qualified_security_identifier_with_reviewed_code_change_mapping_v1"),AND(B21="Q-CLOSE",O21&lt;&gt;"close=close_raw*adjustment_factor"),AND(B21="Q-ADJ-METHOD",O21&lt;&gt;"close_equals_close_raw_times_adjustment_factor"),AND(B21="Q-ADJ-CONVENTION",O21&lt;&gt;"provider_cumulative_backward_adjusted_hfq_no_rebasing"),AND(B21="Q-AMOUNT-UNIT",O21&lt;&gt;"CNY"),AND(B21="M-TERMINAL",O21&lt;&gt;"2023-01-31"),AND(OR(B21="Q-CLOSE-RAW",B21="Q-ADJ-FACTOR",B21="Q-CLOSE"),COUNTIF($S$5:$S$7,S21)&lt;&gt;1)),"BLOCKED",IF(J21="Partial","REVIEW","DOCUMENTED")))</x:f>
        <x:v>INCOMPLETE</x:v>
      </x:c>
    </x:row>
    <x:row r="22" ht="43.5" customHeight="1">
      <x:c r="A22" s="194" t="str">
        <x:v>fundamentals</x:v>
      </x:c>
      <x:c r="B22" s="194" t="str">
        <x:v>F-SYMBOL</x:v>
      </x:c>
      <x:c r="C22" s="194" t="str">
        <x:v>symbol</x:v>
      </x:c>
      <x:c r="D22" s="196" t="n">
        <x:v>39814</x:v>
      </x:c>
      <x:c r="E22" s="196" t="n">
        <x:v>44926</x:v>
      </x:c>
      <x:c r="F22" s="194" t="str">
        <x:v>Same provider-stable identifier semantics and exact contract token provider_stable_exchange_qualified_security_identifier_with_reviewed_code_change_mapping_v1 as quotes and stock master.</x:v>
      </x:c>
      <x:c r="G22" s="194"/>
      <x:c r="H22" s="194"/>
      <x:c r="I22" s="194"/>
      <x:c r="J22" s="194" t="str">
        <x:v>Unknown</x:v>
      </x:c>
      <x:c r="K22" s="194"/>
      <x:c r="L22" s="194"/>
      <x:c r="M22" s="194" t="str">
        <x:v>Unknown</x:v>
      </x:c>
      <x:c r="N22" s="194" t="str">
        <x:v>Unknown</x:v>
      </x:c>
      <x:c r="O22" s="194"/>
      <x:c r="P22" s="194"/>
      <x:c r="Q22" s="194"/>
      <x:c r="R22" s="194"/>
      <x:c r="S22" s="194"/>
      <x:c r="T22" s="194"/>
      <x:c r="U22" s="188" t="str">
        <x:f>IF(OR(J22="",J22="Unknown",M22="",M22="Unknown",N22="",N22="Unknown",G22="",H22="",I22="",K22="",L22="",O22="",P22="",Q22="",R22="",S22=""),"INCOMPLETE",IF(OR(J22="No",K22&gt;D22,L22&lt;E22,N22&lt;&gt;"Yes",LEN(S22)&lt;&gt;64,AND(A22="official_calendar",M22&lt;&gt;"N/A"),AND(A22&lt;&gt;"official_calendar",M22&lt;&gt;"Yes"),AND(OR(B22="Q-SYMBOL",B22="M-SYMBOL",B22="F-SYMBOL"),O22&lt;&gt;"provider_stable_exchange_qualified_security_identifier_with_reviewed_code_change_mapping_v1"),AND(B22="Q-CLOSE",O22&lt;&gt;"close=close_raw*adjustment_factor"),AND(B22="Q-ADJ-METHOD",O22&lt;&gt;"close_equals_close_raw_times_adjustment_factor"),AND(B22="Q-ADJ-CONVENTION",O22&lt;&gt;"provider_cumulative_backward_adjusted_hfq_no_rebasing"),AND(B22="Q-AMOUNT-UNIT",O22&lt;&gt;"CNY"),AND(B22="M-TERMINAL",O22&lt;&gt;"2023-01-31"),AND(OR(B22="Q-CLOSE-RAW",B22="Q-ADJ-FACTOR",B22="Q-CLOSE"),COUNTIF($S$5:$S$7,S22)&lt;&gt;1)),"BLOCKED",IF(J22="Partial","REVIEW","DOCUMENTED")))</x:f>
        <x:v>INCOMPLETE</x:v>
      </x:c>
    </x:row>
    <x:row r="23" ht="43.5" customHeight="1">
      <x:c r="A23" s="185" t="str">
        <x:v>fundamentals</x:v>
      </x:c>
      <x:c r="B23" s="185" t="str">
        <x:v>F-ROE</x:v>
      </x:c>
      <x:c r="C23" s="185" t="str">
        <x:v>roeDiluted</x:v>
      </x:c>
      <x:c r="D23" s="195" t="n">
        <x:v>39814</x:v>
      </x:c>
      <x:c r="E23" s="195" t="n">
        <x:v>44926</x:v>
      </x:c>
      <x:c r="F23" s="185" t="str">
        <x:v>Provider field is explicitly diluted ROE, mapped one-to-one into decimal-unit canonical roe; another ROE concept is not a substitute.</x:v>
      </x:c>
      <x:c r="G23" s="185"/>
      <x:c r="H23" s="185"/>
      <x:c r="I23" s="185"/>
      <x:c r="J23" s="185" t="str">
        <x:v>Unknown</x:v>
      </x:c>
      <x:c r="K23" s="185"/>
      <x:c r="L23" s="185"/>
      <x:c r="M23" s="185" t="str">
        <x:v>Unknown</x:v>
      </x:c>
      <x:c r="N23" s="185" t="str">
        <x:v>Unknown</x:v>
      </x:c>
      <x:c r="O23" s="185"/>
      <x:c r="P23" s="185"/>
      <x:c r="Q23" s="185"/>
      <x:c r="R23" s="185"/>
      <x:c r="S23" s="185"/>
      <x:c r="T23" s="185"/>
      <x:c r="U23" s="188" t="str">
        <x:f>IF(OR(J23="",J23="Unknown",M23="",M23="Unknown",N23="",N23="Unknown",G23="",H23="",I23="",K23="",L23="",O23="",P23="",Q23="",R23="",S23=""),"INCOMPLETE",IF(OR(J23="No",K23&gt;D23,L23&lt;E23,N23&lt;&gt;"Yes",LEN(S23)&lt;&gt;64,AND(A23="official_calendar",M23&lt;&gt;"N/A"),AND(A23&lt;&gt;"official_calendar",M23&lt;&gt;"Yes"),AND(OR(B23="Q-SYMBOL",B23="M-SYMBOL",B23="F-SYMBOL"),O23&lt;&gt;"provider_stable_exchange_qualified_security_identifier_with_reviewed_code_change_mapping_v1"),AND(B23="Q-CLOSE",O23&lt;&gt;"close=close_raw*adjustment_factor"),AND(B23="Q-ADJ-METHOD",O23&lt;&gt;"close_equals_close_raw_times_adjustment_factor"),AND(B23="Q-ADJ-CONVENTION",O23&lt;&gt;"provider_cumulative_backward_adjusted_hfq_no_rebasing"),AND(B23="Q-AMOUNT-UNIT",O23&lt;&gt;"CNY"),AND(B23="M-TERMINAL",O23&lt;&gt;"2023-01-31"),AND(OR(B23="Q-CLOSE-RAW",B23="Q-ADJ-FACTOR",B23="Q-CLOSE"),COUNTIF($S$5:$S$7,S23)&lt;&gt;1)),"BLOCKED",IF(J23="Partial","REVIEW","DOCUMENTED")))</x:f>
        <x:v>INCOMPLETE</x:v>
      </x:c>
    </x:row>
    <x:row r="24" ht="43.5" customHeight="1">
      <x:c r="A24" s="194" t="str">
        <x:v>fundamentals</x:v>
      </x:c>
      <x:c r="B24" s="194" t="str">
        <x:v>F-PUBLISH</x:v>
      </x:c>
      <x:c r="C24" s="194" t="str">
        <x:v>publishDate</x:v>
      </x:c>
      <x:c r="D24" s="196" t="n">
        <x:v>39814</x:v>
      </x:c>
      <x:c r="E24" s="196" t="n">
        <x:v>44926</x:v>
      </x:c>
      <x:c r="F24" s="194" t="str">
        <x:v>Actual recorded disclosure/publication date; scheduled, expected, appointment, ingestion, update and revision dates are forbidden substitutes.</x:v>
      </x:c>
      <x:c r="G24" s="194"/>
      <x:c r="H24" s="194"/>
      <x:c r="I24" s="194"/>
      <x:c r="J24" s="194" t="str">
        <x:v>Unknown</x:v>
      </x:c>
      <x:c r="K24" s="194"/>
      <x:c r="L24" s="194"/>
      <x:c r="M24" s="194" t="str">
        <x:v>Unknown</x:v>
      </x:c>
      <x:c r="N24" s="194" t="str">
        <x:v>Unknown</x:v>
      </x:c>
      <x:c r="O24" s="194"/>
      <x:c r="P24" s="194"/>
      <x:c r="Q24" s="194"/>
      <x:c r="R24" s="194"/>
      <x:c r="S24" s="194"/>
      <x:c r="T24" s="194"/>
      <x:c r="U24" s="188" t="str">
        <x:f>IF(OR(J24="",J24="Unknown",M24="",M24="Unknown",N24="",N24="Unknown",G24="",H24="",I24="",K24="",L24="",O24="",P24="",Q24="",R24="",S24=""),"INCOMPLETE",IF(OR(J24="No",K24&gt;D24,L24&lt;E24,N24&lt;&gt;"Yes",LEN(S24)&lt;&gt;64,AND(A24="official_calendar",M24&lt;&gt;"N/A"),AND(A24&lt;&gt;"official_calendar",M24&lt;&gt;"Yes"),AND(OR(B24="Q-SYMBOL",B24="M-SYMBOL",B24="F-SYMBOL"),O24&lt;&gt;"provider_stable_exchange_qualified_security_identifier_with_reviewed_code_change_mapping_v1"),AND(B24="Q-CLOSE",O24&lt;&gt;"close=close_raw*adjustment_factor"),AND(B24="Q-ADJ-METHOD",O24&lt;&gt;"close_equals_close_raw_times_adjustment_factor"),AND(B24="Q-ADJ-CONVENTION",O24&lt;&gt;"provider_cumulative_backward_adjusted_hfq_no_rebasing"),AND(B24="Q-AMOUNT-UNIT",O24&lt;&gt;"CNY"),AND(B24="M-TERMINAL",O24&lt;&gt;"2023-01-31"),AND(OR(B24="Q-CLOSE-RAW",B24="Q-ADJ-FACTOR",B24="Q-CLOSE"),COUNTIF($S$5:$S$7,S24)&lt;&gt;1)),"BLOCKED",IF(J24="Partial","REVIEW","DOCUMENTED")))</x:f>
        <x:v>INCOMPLETE</x:v>
      </x:c>
    </x:row>
    <x:row r="25" ht="43.5" customHeight="1">
      <x:c r="A25" s="185" t="str">
        <x:v>fundamentals</x:v>
      </x:c>
      <x:c r="B25" s="185" t="str">
        <x:v>F-PERIOD</x:v>
      </x:c>
      <x:c r="C25" s="185" t="str">
        <x:v>reportPeriodEnd</x:v>
      </x:c>
      <x:c r="D25" s="195" t="n">
        <x:v>39814</x:v>
      </x:c>
      <x:c r="E25" s="195" t="n">
        <x:v>44926</x:v>
      </x:c>
      <x:c r="F25" s="185" t="str">
        <x:v>Fiscal report-period end; no delivered row may have publishDate earlier than reportPeriodEnd.</x:v>
      </x:c>
      <x:c r="G25" s="185"/>
      <x:c r="H25" s="185"/>
      <x:c r="I25" s="185"/>
      <x:c r="J25" s="185" t="str">
        <x:v>Unknown</x:v>
      </x:c>
      <x:c r="K25" s="185"/>
      <x:c r="L25" s="185"/>
      <x:c r="M25" s="185" t="str">
        <x:v>Unknown</x:v>
      </x:c>
      <x:c r="N25" s="185" t="str">
        <x:v>Unknown</x:v>
      </x:c>
      <x:c r="O25" s="185"/>
      <x:c r="P25" s="185"/>
      <x:c r="Q25" s="185"/>
      <x:c r="R25" s="185"/>
      <x:c r="S25" s="185"/>
      <x:c r="T25" s="185"/>
      <x:c r="U25" s="188" t="str">
        <x:f>IF(OR(J25="",J25="Unknown",M25="",M25="Unknown",N25="",N25="Unknown",G25="",H25="",I25="",K25="",L25="",O25="",P25="",Q25="",R25="",S25=""),"INCOMPLETE",IF(OR(J25="No",K25&gt;D25,L25&lt;E25,N25&lt;&gt;"Yes",LEN(S25)&lt;&gt;64,AND(A25="official_calendar",M25&lt;&gt;"N/A"),AND(A25&lt;&gt;"official_calendar",M25&lt;&gt;"Yes"),AND(OR(B25="Q-SYMBOL",B25="M-SYMBOL",B25="F-SYMBOL"),O25&lt;&gt;"provider_stable_exchange_qualified_security_identifier_with_reviewed_code_change_mapping_v1"),AND(B25="Q-CLOSE",O25&lt;&gt;"close=close_raw*adjustment_factor"),AND(B25="Q-ADJ-METHOD",O25&lt;&gt;"close_equals_close_raw_times_adjustment_factor"),AND(B25="Q-ADJ-CONVENTION",O25&lt;&gt;"provider_cumulative_backward_adjusted_hfq_no_rebasing"),AND(B25="Q-AMOUNT-UNIT",O25&lt;&gt;"CNY"),AND(B25="M-TERMINAL",O25&lt;&gt;"2023-01-31"),AND(OR(B25="Q-CLOSE-RAW",B25="Q-ADJ-FACTOR",B25="Q-CLOSE"),COUNTIF($S$5:$S$7,S25)&lt;&gt;1)),"BLOCKED",IF(J25="Partial","REVIEW","DOCUMENTED")))</x:f>
        <x:v>INCOMPLETE</x:v>
      </x:c>
    </x:row>
    <x:row r="26" ht="43.5" customHeight="1">
      <x:c r="A26" s="194" t="str">
        <x:v>official_calendar</x:v>
      </x:c>
      <x:c r="B26" s="194" t="str">
        <x:v>C-SSE-DATE</x:v>
      </x:c>
      <x:c r="C26" s="194" t="str">
        <x:v>SSE date</x:v>
      </x:c>
      <x:c r="D26" s="196" t="n">
        <x:v>39814</x:v>
      </x:c>
      <x:c r="E26" s="196" t="n">
        <x:v>44957</x:v>
      </x:c>
      <x:c r="F26" s="194" t="str">
        <x:v>Separate authoritative Shanghai Stock Exchange calendar date with retained source provenance.</x:v>
      </x:c>
      <x:c r="G26" s="194"/>
      <x:c r="H26" s="194"/>
      <x:c r="I26" s="194"/>
      <x:c r="J26" s="194" t="str">
        <x:v>Unknown</x:v>
      </x:c>
      <x:c r="K26" s="194"/>
      <x:c r="L26" s="194"/>
      <x:c r="M26" s="194" t="str">
        <x:v>Unknown</x:v>
      </x:c>
      <x:c r="N26" s="194" t="str">
        <x:v>Unknown</x:v>
      </x:c>
      <x:c r="O26" s="194"/>
      <x:c r="P26" s="194"/>
      <x:c r="Q26" s="194"/>
      <x:c r="R26" s="194"/>
      <x:c r="S26" s="194"/>
      <x:c r="T26" s="194"/>
      <x:c r="U26" s="188" t="str">
        <x:f>IF(OR(J26="",J26="Unknown",M26="",M26="Unknown",N26="",N26="Unknown",G26="",H26="",I26="",K26="",L26="",O26="",P26="",Q26="",R26="",S26=""),"INCOMPLETE",IF(OR(J26="No",K26&gt;D26,L26&lt;E26,N26&lt;&gt;"Yes",LEN(S26)&lt;&gt;64,AND(A26="official_calendar",M26&lt;&gt;"N/A"),AND(A26&lt;&gt;"official_calendar",M26&lt;&gt;"Yes"),AND(OR(B26="Q-SYMBOL",B26="M-SYMBOL",B26="F-SYMBOL"),O26&lt;&gt;"provider_stable_exchange_qualified_security_identifier_with_reviewed_code_change_mapping_v1"),AND(B26="Q-CLOSE",O26&lt;&gt;"close=close_raw*adjustment_factor"),AND(B26="Q-ADJ-METHOD",O26&lt;&gt;"close_equals_close_raw_times_adjustment_factor"),AND(B26="Q-ADJ-CONVENTION",O26&lt;&gt;"provider_cumulative_backward_adjusted_hfq_no_rebasing"),AND(B26="Q-AMOUNT-UNIT",O26&lt;&gt;"CNY"),AND(B26="M-TERMINAL",O26&lt;&gt;"2023-01-31"),AND(OR(B26="Q-CLOSE-RAW",B26="Q-ADJ-FACTOR",B26="Q-CLOSE"),COUNTIF($S$5:$S$7,S26)&lt;&gt;1)),"BLOCKED",IF(J26="Partial","REVIEW","DOCUMENTED")))</x:f>
        <x:v>INCOMPLETE</x:v>
      </x:c>
    </x:row>
    <x:row r="27" ht="43.5" customHeight="1">
      <x:c r="A27" s="185" t="str">
        <x:v>official_calendar</x:v>
      </x:c>
      <x:c r="B27" s="185" t="str">
        <x:v>C-SSE-OPEN</x:v>
      </x:c>
      <x:c r="C27" s="185" t="str">
        <x:v>SSE is_open</x:v>
      </x:c>
      <x:c r="D27" s="195" t="n">
        <x:v>39814</x:v>
      </x:c>
      <x:c r="E27" s="195" t="n">
        <x:v>44957</x:v>
      </x:c>
      <x:c r="F27" s="185" t="str">
        <x:v>Explicit official open/closed state for every requested calendar date.</x:v>
      </x:c>
      <x:c r="G27" s="185"/>
      <x:c r="H27" s="185"/>
      <x:c r="I27" s="185"/>
      <x:c r="J27" s="185" t="str">
        <x:v>Unknown</x:v>
      </x:c>
      <x:c r="K27" s="185"/>
      <x:c r="L27" s="185"/>
      <x:c r="M27" s="185" t="str">
        <x:v>Unknown</x:v>
      </x:c>
      <x:c r="N27" s="185" t="str">
        <x:v>Unknown</x:v>
      </x:c>
      <x:c r="O27" s="185"/>
      <x:c r="P27" s="185"/>
      <x:c r="Q27" s="185"/>
      <x:c r="R27" s="185"/>
      <x:c r="S27" s="185"/>
      <x:c r="T27" s="185"/>
      <x:c r="U27" s="188" t="str">
        <x:f>IF(OR(J27="",J27="Unknown",M27="",M27="Unknown",N27="",N27="Unknown",G27="",H27="",I27="",K27="",L27="",O27="",P27="",Q27="",R27="",S27=""),"INCOMPLETE",IF(OR(J27="No",K27&gt;D27,L27&lt;E27,N27&lt;&gt;"Yes",LEN(S27)&lt;&gt;64,AND(A27="official_calendar",M27&lt;&gt;"N/A"),AND(A27&lt;&gt;"official_calendar",M27&lt;&gt;"Yes"),AND(OR(B27="Q-SYMBOL",B27="M-SYMBOL",B27="F-SYMBOL"),O27&lt;&gt;"provider_stable_exchange_qualified_security_identifier_with_reviewed_code_change_mapping_v1"),AND(B27="Q-CLOSE",O27&lt;&gt;"close=close_raw*adjustment_factor"),AND(B27="Q-ADJ-METHOD",O27&lt;&gt;"close_equals_close_raw_times_adjustment_factor"),AND(B27="Q-ADJ-CONVENTION",O27&lt;&gt;"provider_cumulative_backward_adjusted_hfq_no_rebasing"),AND(B27="Q-AMOUNT-UNIT",O27&lt;&gt;"CNY"),AND(B27="M-TERMINAL",O27&lt;&gt;"2023-01-31"),AND(OR(B27="Q-CLOSE-RAW",B27="Q-ADJ-FACTOR",B27="Q-CLOSE"),COUNTIF($S$5:$S$7,S27)&lt;&gt;1)),"BLOCKED",IF(J27="Partial","REVIEW","DOCUMENTED")))</x:f>
        <x:v>INCOMPLETE</x:v>
      </x:c>
    </x:row>
    <x:row r="28" ht="43.5" customHeight="1">
      <x:c r="A28" s="194" t="str">
        <x:v>official_calendar</x:v>
      </x:c>
      <x:c r="B28" s="194" t="str">
        <x:v>C-SZSE-DATE</x:v>
      </x:c>
      <x:c r="C28" s="194" t="str">
        <x:v>SZSE date</x:v>
      </x:c>
      <x:c r="D28" s="196" t="n">
        <x:v>39814</x:v>
      </x:c>
      <x:c r="E28" s="196" t="n">
        <x:v>44957</x:v>
      </x:c>
      <x:c r="F28" s="194" t="str">
        <x:v>Separate authoritative Shenzhen Stock Exchange calendar date with retained source provenance.</x:v>
      </x:c>
      <x:c r="G28" s="194"/>
      <x:c r="H28" s="194"/>
      <x:c r="I28" s="194"/>
      <x:c r="J28" s="194" t="str">
        <x:v>Unknown</x:v>
      </x:c>
      <x:c r="K28" s="194"/>
      <x:c r="L28" s="194"/>
      <x:c r="M28" s="194" t="str">
        <x:v>Unknown</x:v>
      </x:c>
      <x:c r="N28" s="194" t="str">
        <x:v>Unknown</x:v>
      </x:c>
      <x:c r="O28" s="194"/>
      <x:c r="P28" s="194"/>
      <x:c r="Q28" s="194"/>
      <x:c r="R28" s="194"/>
      <x:c r="S28" s="194"/>
      <x:c r="T28" s="194"/>
      <x:c r="U28" s="188" t="str">
        <x:f>IF(OR(J28="",J28="Unknown",M28="",M28="Unknown",N28="",N28="Unknown",G28="",H28="",I28="",K28="",L28="",O28="",P28="",Q28="",R28="",S28=""),"INCOMPLETE",IF(OR(J28="No",K28&gt;D28,L28&lt;E28,N28&lt;&gt;"Yes",LEN(S28)&lt;&gt;64,AND(A28="official_calendar",M28&lt;&gt;"N/A"),AND(A28&lt;&gt;"official_calendar",M28&lt;&gt;"Yes"),AND(OR(B28="Q-SYMBOL",B28="M-SYMBOL",B28="F-SYMBOL"),O28&lt;&gt;"provider_stable_exchange_qualified_security_identifier_with_reviewed_code_change_mapping_v1"),AND(B28="Q-CLOSE",O28&lt;&gt;"close=close_raw*adjustment_factor"),AND(B28="Q-ADJ-METHOD",O28&lt;&gt;"close_equals_close_raw_times_adjustment_factor"),AND(B28="Q-ADJ-CONVENTION",O28&lt;&gt;"provider_cumulative_backward_adjusted_hfq_no_rebasing"),AND(B28="Q-AMOUNT-UNIT",O28&lt;&gt;"CNY"),AND(B28="M-TERMINAL",O28&lt;&gt;"2023-01-31"),AND(OR(B28="Q-CLOSE-RAW",B28="Q-ADJ-FACTOR",B28="Q-CLOSE"),COUNTIF($S$5:$S$7,S28)&lt;&gt;1)),"BLOCKED",IF(J28="Partial","REVIEW","DOCUMENTED")))</x:f>
        <x:v>INCOMPLETE</x:v>
      </x:c>
    </x:row>
    <x:row r="29" ht="43.5" customHeight="1">
      <x:c r="A29" s="185" t="str">
        <x:v>official_calendar</x:v>
      </x:c>
      <x:c r="B29" s="185" t="str">
        <x:v>C-SZSE-OPEN</x:v>
      </x:c>
      <x:c r="C29" s="185" t="str">
        <x:v>SZSE is_open</x:v>
      </x:c>
      <x:c r="D29" s="195" t="n">
        <x:v>39814</x:v>
      </x:c>
      <x:c r="E29" s="195" t="n">
        <x:v>44957</x:v>
      </x:c>
      <x:c r="F29" s="185" t="str">
        <x:v>Explicit official open/closed state for every requested calendar date.</x:v>
      </x:c>
      <x:c r="G29" s="185"/>
      <x:c r="H29" s="185"/>
      <x:c r="I29" s="185"/>
      <x:c r="J29" s="185" t="str">
        <x:v>Unknown</x:v>
      </x:c>
      <x:c r="K29" s="185"/>
      <x:c r="L29" s="185"/>
      <x:c r="M29" s="185" t="str">
        <x:v>Unknown</x:v>
      </x:c>
      <x:c r="N29" s="185" t="str">
        <x:v>Unknown</x:v>
      </x:c>
      <x:c r="O29" s="185"/>
      <x:c r="P29" s="185"/>
      <x:c r="Q29" s="185"/>
      <x:c r="R29" s="185"/>
      <x:c r="S29" s="185"/>
      <x:c r="T29" s="185"/>
      <x:c r="U29" s="188" t="str">
        <x:f>IF(OR(J29="",J29="Unknown",M29="",M29="Unknown",N29="",N29="Unknown",G29="",H29="",I29="",K29="",L29="",O29="",P29="",Q29="",R29="",S29=""),"INCOMPLETE",IF(OR(J29="No",K29&gt;D29,L29&lt;E29,N29&lt;&gt;"Yes",LEN(S29)&lt;&gt;64,AND(A29="official_calendar",M29&lt;&gt;"N/A"),AND(A29&lt;&gt;"official_calendar",M29&lt;&gt;"Yes"),AND(OR(B29="Q-SYMBOL",B29="M-SYMBOL",B29="F-SYMBOL"),O29&lt;&gt;"provider_stable_exchange_qualified_security_identifier_with_reviewed_code_change_mapping_v1"),AND(B29="Q-CLOSE",O29&lt;&gt;"close=close_raw*adjustment_factor"),AND(B29="Q-ADJ-METHOD",O29&lt;&gt;"close_equals_close_raw_times_adjustment_factor"),AND(B29="Q-ADJ-CONVENTION",O29&lt;&gt;"provider_cumulative_backward_adjusted_hfq_no_rebasing"),AND(B29="Q-AMOUNT-UNIT",O29&lt;&gt;"CNY"),AND(B29="M-TERMINAL",O29&lt;&gt;"2023-01-31"),AND(OR(B29="Q-CLOSE-RAW",B29="Q-ADJ-FACTOR",B29="Q-CLOSE"),COUNTIF($S$5:$S$7,S29)&lt;&gt;1)),"BLOCKED",IF(J29="Partial","REVIEW","DOCUMENTED")))</x:f>
        <x:v>INCOMPLETE</x:v>
      </x:c>
    </x:row>
    <x:row r="30" ht="43.5" customHeight="1">
      <x:c r="A30" s="194" t="str">
        <x:v>official_calendar</x:v>
      </x:c>
      <x:c r="B30" s="194" t="str">
        <x:v>C-COMMON</x:v>
      </x:c>
      <x:c r="C30" s="194" t="str">
        <x:v>common date</x:v>
      </x:c>
      <x:c r="D30" s="196" t="n">
        <x:v>39814</x:v>
      </x:c>
      <x:c r="E30" s="196" t="n">
        <x:v>44957</x:v>
      </x:c>
      <x:c r="F30" s="194" t="str">
        <x:v>Derived intersection only where both exchanges explicitly report open; disagreements stop acceptance; exact canonical CSV bytes are hash-bound before registration.</x:v>
      </x:c>
      <x:c r="G30" s="194"/>
      <x:c r="H30" s="194"/>
      <x:c r="I30" s="194"/>
      <x:c r="J30" s="194" t="str">
        <x:v>Unknown</x:v>
      </x:c>
      <x:c r="K30" s="194"/>
      <x:c r="L30" s="194"/>
      <x:c r="M30" s="194" t="str">
        <x:v>Unknown</x:v>
      </x:c>
      <x:c r="N30" s="194" t="str">
        <x:v>Unknown</x:v>
      </x:c>
      <x:c r="O30" s="194"/>
      <x:c r="P30" s="194"/>
      <x:c r="Q30" s="194"/>
      <x:c r="R30" s="194"/>
      <x:c r="S30" s="194"/>
      <x:c r="T30" s="194"/>
      <x:c r="U30" s="188" t="str">
        <x:f>IF(OR(J30="",J30="Unknown",M30="",M30="Unknown",N30="",N30="Unknown",G30="",H30="",I30="",K30="",L30="",O30="",P30="",Q30="",R30="",S30=""),"INCOMPLETE",IF(OR(J30="No",K30&gt;D30,L30&lt;E30,N30&lt;&gt;"Yes",LEN(S30)&lt;&gt;64,AND(A30="official_calendar",M30&lt;&gt;"N/A"),AND(A30&lt;&gt;"official_calendar",M30&lt;&gt;"Yes"),AND(OR(B30="Q-SYMBOL",B30="M-SYMBOL",B30="F-SYMBOL"),O30&lt;&gt;"provider_stable_exchange_qualified_security_identifier_with_reviewed_code_change_mapping_v1"),AND(B30="Q-CLOSE",O30&lt;&gt;"close=close_raw*adjustment_factor"),AND(B30="Q-ADJ-METHOD",O30&lt;&gt;"close_equals_close_raw_times_adjustment_factor"),AND(B30="Q-ADJ-CONVENTION",O30&lt;&gt;"provider_cumulative_backward_adjusted_hfq_no_rebasing"),AND(B30="Q-AMOUNT-UNIT",O30&lt;&gt;"CNY"),AND(B30="M-TERMINAL",O30&lt;&gt;"2023-01-31"),AND(OR(B30="Q-CLOSE-RAW",B30="Q-ADJ-FACTOR",B30="Q-CLOSE"),COUNTIF($S$5:$S$7,S30)&lt;&gt;1)),"BLOCKED",IF(J30="Partial","REVIEW","DOCUMENTED")))</x:f>
        <x:v>INCOMPLETE</x:v>
      </x:c>
    </x:row>
  </x:sheetData>
  <x:mergeCells>
    <x:mergeCell ref="A1:U1"/>
  </x:mergeCells>
  <x:conditionalFormatting sqref="U3:U22">
    <x:cfRule type="containsText" dxfId="0" priority="1" operator="containsText" text="DOCUMENTED"/>
    <x:cfRule type="containsText" dxfId="1" priority="2" operator="containsText" text="BLOCKED"/>
    <x:cfRule type="containsText" dxfId="2" priority="3" operator="containsText" text="REVIEW"/>
    <x:cfRule type="containsText" dxfId="3" priority="4" operator="containsText" text="INCOMPLETE"/>
    <x:cfRule type="containsText" dxfId="4" priority="5" operator="containsText" text="FORM_COMPLETE"/>
  </x:conditionalFormatting>
  <x:conditionalFormatting sqref="U3:U23">
    <x:cfRule type="containsText" dxfId="20" priority="6" operator="containsText" text="DOCUMENTED"/>
    <x:cfRule type="containsText" dxfId="21" priority="7" operator="containsText" text="REVIEW"/>
    <x:cfRule type="containsText" dxfId="22" priority="8" operator="containsText" text="BLOCKED"/>
    <x:cfRule type="containsText" dxfId="23" priority="9" operator="containsText" text="INCOMPLETE"/>
  </x:conditionalFormatting>
  <x:conditionalFormatting sqref="U3:U30">
    <x:cfRule type="containsText" dxfId="37" priority="10" operator="containsText" text="DOCUMENTED"/>
    <x:cfRule type="containsText" dxfId="38" priority="11" operator="containsText" text="REVIEW"/>
    <x:cfRule type="containsText" dxfId="39" priority="12" operator="containsText" text="BLOCKED"/>
  </x:conditionalFormatting>
  <x:dataValidations count="6">
    <x:dataValidation type="list" sqref="J3:J22">
      <x:formula1>"Yes,No,Partial,Unknown"</x:formula1>
    </x:dataValidation>
    <x:dataValidation type="list" sqref="M3:N22">
      <x:formula1>"Yes,No,N/A,Unknown"</x:formula1>
    </x:dataValidation>
    <x:dataValidation type="list" sqref="J3:J23">
      <x:formula1>"Unknown,Yes,Partial,No"</x:formula1>
    </x:dataValidation>
    <x:dataValidation type="list" sqref="M3:N23">
      <x:formula1>"Unknown,Yes,No,N/A"</x:formula1>
    </x:dataValidation>
    <x:dataValidation type="list" sqref="J3:J30">
      <x:formula1>"Unknown,Yes,Partial,No"</x:formula1>
    </x:dataValidation>
    <x:dataValidation type="list" sqref="M3:N30">
      <x:formula1>"Unknown,Yes,No,N/A"</x:formula1>
    </x:dataValidation>
  </x:dataValidations>
  <x:pageMargins left="0.7" right="0.7" top="0.75" bottom="0.75" header="0.3" footer="0.3"/>
  <x:tableParts count="1">
    <x:tablePart xmlns:r="http://schemas.openxmlformats.org/officeDocument/2006/relationships" r:id="Rfefe7bf04f4e443c"/>
  </x:tableParts>
</x:worksheet>
</file>

<file path=xl/worksheets/sheet3.xml><?xml version="1.0" encoding="utf-8"?>
<x:worksheet xmlns:x="http://schemas.openxmlformats.org/spreadsheetml/2006/main">
  <x:sheetViews>
    <x:sheetView showGridLines="0" workbookViewId="0"/>
  </x:sheetViews>
  <x:sheetFormatPr defaultRowHeight="15"/>
  <x:cols>
    <x:col min="1" max="1" width="12.220000267028809" hidden="0" customWidth="1"/>
    <x:col min="2" max="2" width="19.440000534057617" hidden="0" customWidth="1"/>
    <x:col min="3" max="3" width="31.670000076293945" hidden="0" customWidth="1"/>
    <x:col min="4" max="4" width="30" hidden="0" customWidth="1"/>
    <x:col min="5" max="5" width="12.220000267028809" hidden="0" customWidth="1"/>
    <x:col min="6" max="6" width="11.670000076293945" hidden="0" customWidth="1"/>
    <x:col min="7" max="7" width="20.559999465942383" hidden="0" customWidth="1"/>
    <x:col min="8" max="8" width="18.329999923706055" hidden="0" customWidth="1"/>
    <x:col min="9" max="9" width="19.440000534057617" hidden="0" customWidth="1"/>
    <x:col min="10" max="10" width="25.559999465942383" hidden="0" customWidth="1"/>
    <x:col min="11" max="11" width="15" hidden="0" customWidth="1"/>
    <x:col min="12" max="12" width="26.110000610351562" hidden="0" customWidth="1"/>
    <x:col min="13" max="13" width="12.779999732971191" hidden="0" customWidth="1"/>
    <x:col min="14" max="14" width="21.110000610351562" hidden="0" customWidth="1"/>
    <x:col min="15" max="15" width="20" hidden="0" customWidth="1"/>
    <x:col min="16" max="16" width="14.4399995803833" hidden="0" customWidth="1"/>
  </x:cols>
  <x:sheetData>
    <x:row r="1" ht="24" customHeight="1">
      <x:c r="A1" s="165" t="str">
        <x:v>Provider/Licensor Grant or Licensed Administrator Contract Confirmation</x:v>
      </x:c>
      <x:c r="B1" s="165"/>
      <x:c r="C1" s="165"/>
      <x:c r="D1" s="165"/>
      <x:c r="E1" s="165"/>
      <x:c r="F1" s="165"/>
      <x:c r="G1" s="165"/>
      <x:c r="H1" s="165"/>
      <x:c r="I1" s="165"/>
      <x:c r="J1" s="165"/>
      <x:c r="K1" s="165"/>
      <x:c r="L1" s="165"/>
      <x:c r="M1" s="165"/>
      <x:c r="N1" s="165"/>
      <x:c r="O1" s="165"/>
      <x:c r="P1" s="165"/>
    </x:row>
    <x:row r="2" ht="46.5" customHeight="1">
      <x:c r="A2" s="177" t="str">
        <x:v>Permission ID</x:v>
      </x:c>
      <x:c r="B2" s="178" t="str">
        <x:v>Dataset Scope</x:v>
      </x:c>
      <x:c r="C2" s="178" t="str">
        <x:v>Canonical Attestation Permission</x:v>
      </x:c>
      <x:c r="D2" s="178" t="str">
        <x:v>Permission / Output</x:v>
      </x:c>
      <x:c r="E2" s="178" t="str">
        <x:v>Required Answer</x:v>
      </x:c>
      <x:c r="F2" s="178" t="str">
        <x:v>Provider Response</x:v>
      </x:c>
      <x:c r="G2" s="178" t="str">
        <x:v>Contract Clause / Reference</x:v>
      </x:c>
      <x:c r="H2" s="178" t="str">
        <x:v>Evidence File</x:v>
      </x:c>
      <x:c r="I2" s="178" t="str">
        <x:v>Evidence SHA-256</x:v>
      </x:c>
      <x:c r="J2" s="178" t="str">
        <x:v>Authorized Grantor/Confirmer, Title &amp; Authority Basis</x:v>
      </x:c>
      <x:c r="K2" s="178" t="str">
        <x:v>Restriction ID</x:v>
      </x:c>
      <x:c r="L2" s="178" t="str">
        <x:v>Restriction Description</x:v>
      </x:c>
      <x:c r="M2" s="178" t="str">
        <x:v>Conditions Satisfied?</x:v>
      </x:c>
      <x:c r="N2" s="178" t="str">
        <x:v>Condition Review Timestamp (ISO 8601 with offset)</x:v>
      </x:c>
      <x:c r="O2" s="178" t="str">
        <x:v>Condition Evidence SHA-256</x:v>
      </x:c>
      <x:c r="P2" s="179" t="str">
        <x:v>Row Completeness Status</x:v>
      </x:c>
    </x:row>
    <x:row r="3" ht="42" customHeight="1">
      <x:c r="A3" s="185" t="str">
        <x:v>R-STORE</x:v>
      </x:c>
      <x:c r="B3" s="185" t="str">
        <x:v>quotes; stock_master; fundamentals; official_calendar</x:v>
      </x:c>
      <x:c r="C3" s="185" t="str">
        <x:v>datasets.&lt;role&gt;.local_storage_permitted</x:v>
      </x:c>
      <x:c r="D3" s="185" t="str">
        <x:v>Encrypted local storage in an approved private location</x:v>
      </x:c>
      <x:c r="E3" s="185" t="str">
        <x:v>Yes</x:v>
      </x:c>
      <x:c r="F3" s="185" t="str">
        <x:v>Unknown</x:v>
      </x:c>
      <x:c r="G3" s="185"/>
      <x:c r="H3" s="185"/>
      <x:c r="I3" s="185"/>
      <x:c r="J3" s="185"/>
      <x:c r="K3" s="185"/>
      <x:c r="L3" s="185"/>
      <x:c r="M3" s="185" t="str">
        <x:v>N/A</x:v>
      </x:c>
      <x:c r="N3" s="185"/>
      <x:c r="O3" s="185"/>
      <x:c r="P3" s="188" t="str">
        <x:f>IF(OR(F3="",F3="Unknown",G3="",H3="",I3="",J3=""),"INCOMPLETE",IF(LEN(I3)&lt;&gt;64,"BLOCKED",IF(F3="Conditional",IF(OR(K3="",L3="",M3="",M3="Unknown",N3="",O3=""),"INCOMPLETE",IF(OR(M3&lt;&gt;"Yes",LEN(O3)&lt;&gt;64),"BLOCKED","DOCUMENTED")),IF(OR(M3="",M3="Unknown"),"INCOMPLETE",IF(M3&lt;&gt;"N/A","BLOCKED",IF(E3="Explicit Yes/No",IF(OR(F3="Yes",F3="No"),"DOCUMENTED","BLOCKED"),IF(F3=E3,"DOCUMENTED","BLOCKED")))))))</x:f>
        <x:v>INCOMPLETE</x:v>
      </x:c>
    </x:row>
    <x:row r="4" ht="42" customHeight="1">
      <x:c r="A4" s="194" t="str">
        <x:v>R-ANALYZE</x:v>
      </x:c>
      <x:c r="B4" s="194" t="str">
        <x:v>quotes; stock_master; fundamentals; official_calendar</x:v>
      </x:c>
      <x:c r="C4" s="194" t="str">
        <x:v>datasets.&lt;role&gt;.local_analysis_permitted</x:v>
      </x:c>
      <x:c r="D4" s="194" t="str">
        <x:v>Non-commercial academic analysis for the named study</x:v>
      </x:c>
      <x:c r="E4" s="194" t="str">
        <x:v>Yes</x:v>
      </x:c>
      <x:c r="F4" s="194" t="str">
        <x:v>Unknown</x:v>
      </x:c>
      <x:c r="G4" s="194"/>
      <x:c r="H4" s="194"/>
      <x:c r="I4" s="194"/>
      <x:c r="J4" s="194"/>
      <x:c r="K4" s="194"/>
      <x:c r="L4" s="194"/>
      <x:c r="M4" s="194" t="str">
        <x:v>N/A</x:v>
      </x:c>
      <x:c r="N4" s="194"/>
      <x:c r="O4" s="194"/>
      <x:c r="P4" s="188" t="str">
        <x:f>IF(OR(F4="",F4="Unknown",G4="",H4="",I4="",J4=""),"INCOMPLETE",IF(LEN(I4)&lt;&gt;64,"BLOCKED",IF(F4="Conditional",IF(OR(K4="",L4="",M4="",M4="Unknown",N4="",O4=""),"INCOMPLETE",IF(OR(M4&lt;&gt;"Yes",LEN(O4)&lt;&gt;64),"BLOCKED","DOCUMENTED")),IF(OR(M4="",M4="Unknown"),"INCOMPLETE",IF(M4&lt;&gt;"N/A","BLOCKED",IF(E4="Explicit Yes/No",IF(OR(F4="Yes",F4="No"),"DOCUMENTED","BLOCKED"),IF(F4=E4,"DOCUMENTED","BLOCKED")))))))</x:f>
        <x:v>INCOMPLETE</x:v>
      </x:c>
    </x:row>
    <x:row r="5" ht="42" customHeight="1">
      <x:c r="A5" s="185" t="str">
        <x:v>R-AGG-PUB</x:v>
      </x:c>
      <x:c r="B5" s="185" t="str">
        <x:v>quotes; stock_master; fundamentals; official_calendar</x:v>
      </x:c>
      <x:c r="C5" s="185" t="str">
        <x:v>datasets.&lt;role&gt;.aggregate_publication_permitted</x:v>
      </x:c>
      <x:c r="D5" s="185" t="str">
        <x:v>Publication of aggregate tables, figures and statistical estimates</x:v>
      </x:c>
      <x:c r="E5" s="185" t="str">
        <x:v>Yes</x:v>
      </x:c>
      <x:c r="F5" s="185" t="str">
        <x:v>Unknown</x:v>
      </x:c>
      <x:c r="G5" s="185"/>
      <x:c r="H5" s="185"/>
      <x:c r="I5" s="185"/>
      <x:c r="J5" s="185"/>
      <x:c r="K5" s="185"/>
      <x:c r="L5" s="185"/>
      <x:c r="M5" s="185" t="str">
        <x:v>N/A</x:v>
      </x:c>
      <x:c r="N5" s="185"/>
      <x:c r="O5" s="185"/>
      <x:c r="P5" s="188" t="str">
        <x:f>IF(OR(F5="",F5="Unknown",G5="",H5="",I5="",J5=""),"INCOMPLETE",IF(LEN(I5)&lt;&gt;64,"BLOCKED",IF(F5="Conditional",IF(OR(K5="",L5="",M5="",M5="Unknown",N5="",O5=""),"INCOMPLETE",IF(OR(M5&lt;&gt;"Yes",LEN(O5)&lt;&gt;64),"BLOCKED","DOCUMENTED")),IF(OR(M5="",M5="Unknown"),"INCOMPLETE",IF(M5&lt;&gt;"N/A","BLOCKED",IF(E5="Explicit Yes/No",IF(OR(F5="Yes",F5="No"),"DOCUMENTED","BLOCKED"),IF(F5=E5,"DOCUMENTED","BLOCKED")))))))</x:f>
        <x:v>INCOMPLETE</x:v>
      </x:c>
    </x:row>
    <x:row r="6" ht="42" customHeight="1">
      <x:c r="A6" s="194" t="str">
        <x:v>R-COVERAGE</x:v>
      </x:c>
      <x:c r="B6" s="194" t="str">
        <x:v>public outputs</x:v>
      </x:c>
      <x:c r="C6" s="194" t="str">
        <x:v>public_outputs.aggregate_coverage_permitted</x:v>
      </x:c>
      <x:c r="D6" s="194" t="str">
        <x:v>Publication of aggregate coverage and non-null rates</x:v>
      </x:c>
      <x:c r="E6" s="194" t="str">
        <x:v>Yes</x:v>
      </x:c>
      <x:c r="F6" s="194" t="str">
        <x:v>Unknown</x:v>
      </x:c>
      <x:c r="G6" s="194"/>
      <x:c r="H6" s="194"/>
      <x:c r="I6" s="194"/>
      <x:c r="J6" s="194"/>
      <x:c r="K6" s="194"/>
      <x:c r="L6" s="194"/>
      <x:c r="M6" s="194" t="str">
        <x:v>N/A</x:v>
      </x:c>
      <x:c r="N6" s="194"/>
      <x:c r="O6" s="194"/>
      <x:c r="P6" s="188" t="str">
        <x:f>IF(OR(F6="",F6="Unknown",G6="",H6="",I6="",J6=""),"INCOMPLETE",IF(LEN(I6)&lt;&gt;64,"BLOCKED",IF(F6="Conditional",IF(OR(K6="",L6="",M6="",M6="Unknown",N6="",O6=""),"INCOMPLETE",IF(OR(M6&lt;&gt;"Yes",LEN(O6)&lt;&gt;64),"BLOCKED","DOCUMENTED")),IF(OR(M6="",M6="Unknown"),"INCOMPLETE",IF(M6&lt;&gt;"N/A","BLOCKED",IF(E6="Explicit Yes/No",IF(OR(F6="Yes",F6="No"),"DOCUMENTED","BLOCKED"),IF(F6=E6,"DOCUMENTED","BLOCKED")))))))</x:f>
        <x:v>INCOMPLETE</x:v>
      </x:c>
    </x:row>
    <x:row r="7" ht="42" customHeight="1">
      <x:c r="A7" s="185" t="str">
        <x:v>R-MISSING</x:v>
      </x:c>
      <x:c r="B7" s="185" t="str">
        <x:v>public outputs</x:v>
      </x:c>
      <x:c r="C7" s="185" t="str">
        <x:v>public_outputs.aggregate_missingness_permitted; aggregate_reason_counts_permitted</x:v>
      </x:c>
      <x:c r="D7" s="185" t="str">
        <x:v>Publication of aggregate missingness and endpoint-reason counts</x:v>
      </x:c>
      <x:c r="E7" s="185" t="str">
        <x:v>Yes</x:v>
      </x:c>
      <x:c r="F7" s="185" t="str">
        <x:v>Unknown</x:v>
      </x:c>
      <x:c r="G7" s="185"/>
      <x:c r="H7" s="185"/>
      <x:c r="I7" s="185"/>
      <x:c r="J7" s="185"/>
      <x:c r="K7" s="185"/>
      <x:c r="L7" s="185"/>
      <x:c r="M7" s="185" t="str">
        <x:v>N/A</x:v>
      </x:c>
      <x:c r="N7" s="185"/>
      <x:c r="O7" s="185"/>
      <x:c r="P7" s="188" t="str">
        <x:f>IF(OR(F7="",F7="Unknown",G7="",H7="",I7="",J7=""),"INCOMPLETE",IF(LEN(I7)&lt;&gt;64,"BLOCKED",IF(F7="Conditional",IF(OR(K7="",L7="",M7="",M7="Unknown",N7="",O7=""),"INCOMPLETE",IF(OR(M7&lt;&gt;"Yes",LEN(O7)&lt;&gt;64),"BLOCKED","DOCUMENTED")),IF(OR(M7="",M7="Unknown"),"INCOMPLETE",IF(M7&lt;&gt;"N/A","BLOCKED",IF(E7="Explicit Yes/No",IF(OR(F7="Yes",F7="No"),"DOCUMENTED","BLOCKED"),IF(F7=E7,"DOCUMENTED","BLOCKED")))))))</x:f>
        <x:v>INCOMPLETE</x:v>
      </x:c>
    </x:row>
    <x:row r="8" ht="42" customHeight="1">
      <x:c r="A8" s="194" t="str">
        <x:v>R-HASH</x:v>
      </x:c>
      <x:c r="B8" s="194" t="str">
        <x:v>quotes; stock_master; fundamentals; official_calendar; public outputs</x:v>
      </x:c>
      <x:c r="C8" s="194" t="str">
        <x:v>datasets.&lt;role&gt;.hash_publication_permitted; public_outputs.cryptographic_hashes_permitted</x:v>
      </x:c>
      <x:c r="D8" s="194" t="str">
        <x:v>Publication of cryptographic hashes of licensed files/evidence</x:v>
      </x:c>
      <x:c r="E8" s="194" t="str">
        <x:v>Yes</x:v>
      </x:c>
      <x:c r="F8" s="194" t="str">
        <x:v>Unknown</x:v>
      </x:c>
      <x:c r="G8" s="194"/>
      <x:c r="H8" s="194"/>
      <x:c r="I8" s="194"/>
      <x:c r="J8" s="194"/>
      <x:c r="K8" s="194"/>
      <x:c r="L8" s="194"/>
      <x:c r="M8" s="194" t="str">
        <x:v>N/A</x:v>
      </x:c>
      <x:c r="N8" s="194"/>
      <x:c r="O8" s="194"/>
      <x:c r="P8" s="188" t="str">
        <x:f>IF(OR(F8="",F8="Unknown",G8="",H8="",I8="",J8=""),"INCOMPLETE",IF(LEN(I8)&lt;&gt;64,"BLOCKED",IF(F8="Conditional",IF(OR(K8="",L8="",M8="",M8="Unknown",N8="",O8=""),"INCOMPLETE",IF(OR(M8&lt;&gt;"Yes",LEN(O8)&lt;&gt;64),"BLOCKED","DOCUMENTED")),IF(OR(M8="",M8="Unknown"),"INCOMPLETE",IF(M8&lt;&gt;"N/A","BLOCKED",IF(E8="Explicit Yes/No",IF(OR(F8="Yes",F8="No"),"DOCUMENTED","BLOCKED"),IF(F8=E8,"DOCUMENTED","BLOCKED")))))))</x:f>
        <x:v>INCOMPLETE</x:v>
      </x:c>
    </x:row>
    <x:row r="9" ht="42" customHeight="1">
      <x:c r="A9" s="185" t="str">
        <x:v>R-CALENDAR</x:v>
      </x:c>
      <x:c r="B9" s="185" t="str">
        <x:v>official_calendar; public outputs</x:v>
      </x:c>
      <x:c r="C9" s="185" t="str">
        <x:v>datasets.official_calendar.calendar_dates_publication_permitted; public_outputs.exact_official_calendar_dates_permitted</x:v>
      </x:c>
      <x:c r="D9" s="185" t="str">
        <x:v>Publication of exact official common trading dates</x:v>
      </x:c>
      <x:c r="E9" s="185" t="str">
        <x:v>Yes</x:v>
      </x:c>
      <x:c r="F9" s="185" t="str">
        <x:v>Unknown</x:v>
      </x:c>
      <x:c r="G9" s="185"/>
      <x:c r="H9" s="185"/>
      <x:c r="I9" s="185"/>
      <x:c r="J9" s="185"/>
      <x:c r="K9" s="185"/>
      <x:c r="L9" s="185"/>
      <x:c r="M9" s="185" t="str">
        <x:v>N/A</x:v>
      </x:c>
      <x:c r="N9" s="185"/>
      <x:c r="O9" s="185"/>
      <x:c r="P9" s="188" t="str">
        <x:f>IF(OR(F9="",F9="Unknown",G9="",H9="",I9="",J9=""),"INCOMPLETE",IF(LEN(I9)&lt;&gt;64,"BLOCKED",IF(F9="Conditional",IF(OR(K9="",L9="",M9="",M9="Unknown",N9="",O9=""),"INCOMPLETE",IF(OR(M9&lt;&gt;"Yes",LEN(O9)&lt;&gt;64),"BLOCKED","DOCUMENTED")),IF(OR(M9="",M9="Unknown"),"INCOMPLETE",IF(M9&lt;&gt;"N/A","BLOCKED",IF(E9="Explicit Yes/No",IF(OR(F9="Yes",F9="No"),"DOCUMENTED","BLOCKED"),IF(F9=E9,"DOCUMENTED","BLOCKED")))))))</x:f>
        <x:v>INCOMPLETE</x:v>
      </x:c>
    </x:row>
    <x:row r="10" ht="42" customHeight="1">
      <x:c r="A10" s="194" t="str">
        <x:v>R-REVIEW</x:v>
      </x:c>
      <x:c r="B10" s="194" t="str">
        <x:v>quotes; stock_master; fundamentals; official_calendar</x:v>
      </x:c>
      <x:c r="C10" s="194" t="str">
        <x:v>datasets.&lt;role&gt;.controlled_reviewer_rerun_permitted</x:v>
      </x:c>
      <x:c r="D10" s="194" t="str">
        <x:v>Reviewer rerun through provider-issued access or a contract-covered controlled environment</x:v>
      </x:c>
      <x:c r="E10" s="194" t="str">
        <x:v>Yes</x:v>
      </x:c>
      <x:c r="F10" s="194" t="str">
        <x:v>Unknown</x:v>
      </x:c>
      <x:c r="G10" s="194"/>
      <x:c r="H10" s="194"/>
      <x:c r="I10" s="194"/>
      <x:c r="J10" s="194"/>
      <x:c r="K10" s="194"/>
      <x:c r="L10" s="194"/>
      <x:c r="M10" s="194" t="str">
        <x:v>N/A</x:v>
      </x:c>
      <x:c r="N10" s="194"/>
      <x:c r="O10" s="194"/>
      <x:c r="P10" s="188" t="str">
        <x:f>IF(OR(F10="",F10="Unknown",G10="",H10="",I10="",J10=""),"INCOMPLETE",IF(LEN(I10)&lt;&gt;64,"BLOCKED",IF(F10="Conditional",IF(OR(K10="",L10="",M10="",M10="Unknown",N10="",O10=""),"INCOMPLETE",IF(OR(M10&lt;&gt;"Yes",LEN(O10)&lt;&gt;64),"BLOCKED","DOCUMENTED")),IF(OR(M10="",M10="Unknown"),"INCOMPLETE",IF(M10&lt;&gt;"N/A","BLOCKED",IF(E10="Explicit Yes/No",IF(OR(F10="Yes",F10="No"),"DOCUMENTED","BLOCKED"),IF(F10=E10,"DOCUMENTED","BLOCKED")))))))</x:f>
        <x:v>INCOMPLETE</x:v>
      </x:c>
    </x:row>
    <x:row r="11" ht="42" customHeight="1">
      <x:c r="A11" s="185" t="str">
        <x:v>R-SOURCE-DISCLOSE</x:v>
      </x:c>
      <x:c r="B11" s="185" t="str">
        <x:v>quotes; stock_master; fundamentals; official_calendar</x:v>
      </x:c>
      <x:c r="C11" s="185" t="str">
        <x:v>datasets.&lt;role&gt;.source_identity_publication_permitted</x:v>
      </x:c>
      <x:c r="D11" s="185" t="str">
        <x:v>Publish the exact provider, product and source-table identity represented in the fixed public Stage-2 declaration projection; required for every delivered dataset</x:v>
      </x:c>
      <x:c r="E11" s="185" t="str">
        <x:v>Yes</x:v>
      </x:c>
      <x:c r="F11" s="185" t="str">
        <x:v>Unknown</x:v>
      </x:c>
      <x:c r="G11" s="185"/>
      <x:c r="H11" s="185"/>
      <x:c r="I11" s="185"/>
      <x:c r="J11" s="185"/>
      <x:c r="K11" s="185"/>
      <x:c r="L11" s="185"/>
      <x:c r="M11" s="185" t="str">
        <x:v>N/A</x:v>
      </x:c>
      <x:c r="N11" s="185"/>
      <x:c r="O11" s="185"/>
      <x:c r="P11" s="188" t="str">
        <x:f>IF(OR(F11="",F11="Unknown",G11="",H11="",I11="",J11=""),"INCOMPLETE",IF(LEN(I11)&lt;&gt;64,"BLOCKED",IF(F11="Conditional",IF(OR(K11="",L11="",M11="",M11="Unknown",N11="",O11=""),"INCOMPLETE",IF(OR(M11&lt;&gt;"Yes",LEN(O11)&lt;&gt;64),"BLOCKED","DOCUMENTED")),IF(OR(M11="",M11="Unknown"),"INCOMPLETE",IF(M11&lt;&gt;"N/A","BLOCKED",IF(E11="Explicit Yes/No",IF(OR(F11="Yes",F11="No"),"DOCUMENTED","BLOCKED"),IF(F11=E11,"DOCUMENTED","BLOCKED")))))))</x:f>
        <x:v>INCOMPLETE</x:v>
      </x:c>
    </x:row>
    <x:row r="12" ht="42" customHeight="1">
      <x:c r="A12" s="194" t="str">
        <x:v>R-FIELD-MAP-CITE</x:v>
      </x:c>
      <x:c r="B12" s="194" t="str">
        <x:v>quotes; stock_master; fundamentals; official_calendar</x:v>
      </x:c>
      <x:c r="C12" s="194" t="str">
        <x:v>datasets.&lt;role&gt;.field_mapping_citation_permitted</x:v>
      </x:c>
      <x:c r="D12" s="194" t="str">
        <x:v>Cite or reproduce the exact provider field dictionary/mapping represented in the fixed public Stage-2 declaration projection; required for every delivered dataset</x:v>
      </x:c>
      <x:c r="E12" s="194" t="str">
        <x:v>Yes</x:v>
      </x:c>
      <x:c r="F12" s="194" t="str">
        <x:v>Unknown</x:v>
      </x:c>
      <x:c r="G12" s="194"/>
      <x:c r="H12" s="194"/>
      <x:c r="I12" s="194"/>
      <x:c r="J12" s="194"/>
      <x:c r="K12" s="194"/>
      <x:c r="L12" s="194"/>
      <x:c r="M12" s="194" t="str">
        <x:v>N/A</x:v>
      </x:c>
      <x:c r="N12" s="194"/>
      <x:c r="O12" s="194"/>
      <x:c r="P12" s="188" t="str">
        <x:f>IF(OR(F12="",F12="Unknown",G12="",H12="",I12="",J12=""),"INCOMPLETE",IF(LEN(I12)&lt;&gt;64,"BLOCKED",IF(F12="Conditional",IF(OR(K12="",L12="",M12="",M12="Unknown",N12="",O12=""),"INCOMPLETE",IF(OR(M12&lt;&gt;"Yes",LEN(O12)&lt;&gt;64),"BLOCKED","DOCUMENTED")),IF(OR(M12="",M12="Unknown"),"INCOMPLETE",IF(M12&lt;&gt;"N/A","BLOCKED",IF(E12="Explicit Yes/No",IF(OR(F12="Yes",F12="No"),"DOCUMENTED","BLOCKED"),IF(F12=E12,"DOCUMENTED","BLOCKED")))))))</x:f>
        <x:v>INCOMPLETE</x:v>
      </x:c>
    </x:row>
    <x:row r="13" ht="42" customHeight="1">
      <x:c r="A13" s="185" t="str">
        <x:v>R-LEDGER-KEEP</x:v>
      </x:c>
      <x:c r="B13" s="185" t="str">
        <x:v>private endpoint ledger</x:v>
      </x:c>
      <x:c r="C13" s="185" t="str">
        <x:v>private_endpoint_reason_ledger.retention_permitted</x:v>
      </x:c>
      <x:c r="D13" s="185" t="str">
        <x:v>Private retention of the per-security endpoint reason ledger</x:v>
      </x:c>
      <x:c r="E13" s="185" t="str">
        <x:v>Yes</x:v>
      </x:c>
      <x:c r="F13" s="185" t="str">
        <x:v>Unknown</x:v>
      </x:c>
      <x:c r="G13" s="185"/>
      <x:c r="H13" s="185"/>
      <x:c r="I13" s="185"/>
      <x:c r="J13" s="185"/>
      <x:c r="K13" s="185"/>
      <x:c r="L13" s="185"/>
      <x:c r="M13" s="185" t="str">
        <x:v>N/A</x:v>
      </x:c>
      <x:c r="N13" s="185"/>
      <x:c r="O13" s="185"/>
      <x:c r="P13" s="188" t="str">
        <x:f>IF(OR(F13="",F13="Unknown",G13="",H13="",I13="",J13=""),"INCOMPLETE",IF(LEN(I13)&lt;&gt;64,"BLOCKED",IF(F13="Conditional",IF(OR(K13="",L13="",M13="",M13="Unknown",N13="",O13=""),"INCOMPLETE",IF(OR(M13&lt;&gt;"Yes",LEN(O13)&lt;&gt;64),"BLOCKED","DOCUMENTED")),IF(OR(M13="",M13="Unknown"),"INCOMPLETE",IF(M13&lt;&gt;"N/A","BLOCKED",IF(E13="Explicit Yes/No",IF(OR(F13="Yes",F13="No"),"DOCUMENTED","BLOCKED"),IF(F13=E13,"DOCUMENTED","BLOCKED")))))))</x:f>
        <x:v>INCOMPLETE</x:v>
      </x:c>
    </x:row>
    <x:row r="14" ht="42" customHeight="1">
      <x:c r="A14" s="194" t="str">
        <x:v>R-LEDGER-HASH</x:v>
      </x:c>
      <x:c r="B14" s="194" t="str">
        <x:v>private endpoint ledger</x:v>
      </x:c>
      <x:c r="C14" s="194" t="str">
        <x:v>private_endpoint_reason_ledger.hash_binding_permitted</x:v>
      </x:c>
      <x:c r="D14" s="194" t="str">
        <x:v>Hash binding of the private endpoint reason ledger</x:v>
      </x:c>
      <x:c r="E14" s="194" t="str">
        <x:v>Yes</x:v>
      </x:c>
      <x:c r="F14" s="194" t="str">
        <x:v>Unknown</x:v>
      </x:c>
      <x:c r="G14" s="194"/>
      <x:c r="H14" s="194"/>
      <x:c r="I14" s="194"/>
      <x:c r="J14" s="194"/>
      <x:c r="K14" s="194"/>
      <x:c r="L14" s="194"/>
      <x:c r="M14" s="194" t="str">
        <x:v>N/A</x:v>
      </x:c>
      <x:c r="N14" s="194"/>
      <x:c r="O14" s="194"/>
      <x:c r="P14" s="188" t="str">
        <x:f>IF(OR(F14="",F14="Unknown",G14="",H14="",I14="",J14=""),"INCOMPLETE",IF(LEN(I14)&lt;&gt;64,"BLOCKED",IF(F14="Conditional",IF(OR(K14="",L14="",M14="",M14="Unknown",N14="",O14=""),"INCOMPLETE",IF(OR(M14&lt;&gt;"Yes",LEN(O14)&lt;&gt;64),"BLOCKED","DOCUMENTED")),IF(OR(M14="",M14="Unknown"),"INCOMPLETE",IF(M14&lt;&gt;"N/A","BLOCKED",IF(E14="Explicit Yes/No",IF(OR(F14="Yes",F14="No"),"DOCUMENTED","BLOCKED"),IF(F14=E14,"DOCUMENTED","BLOCKED")))))))</x:f>
        <x:v>INCOMPLETE</x:v>
      </x:c>
    </x:row>
    <x:row r="15" ht="42" customHeight="1">
      <x:c r="A15" s="185" t="str">
        <x:v>R-RAW-PUBLIC</x:v>
      </x:c>
      <x:c r="B15" s="185" t="str">
        <x:v>quotes; stock_master; fundamentals; official_calendar; public outputs</x:v>
      </x:c>
      <x:c r="C15" s="185" t="str">
        <x:v>datasets.&lt;role&gt;.raw_redistribution_permitted; public_outputs.raw_rows_permitted</x:v>
      </x:c>
      <x:c r="D15" s="185" t="str">
        <x:v>Public or unauthorized transfer of raw licensed rows</x:v>
      </x:c>
      <x:c r="E15" s="185" t="str">
        <x:v>No</x:v>
      </x:c>
      <x:c r="F15" s="185" t="str">
        <x:v>Unknown</x:v>
      </x:c>
      <x:c r="G15" s="185"/>
      <x:c r="H15" s="185"/>
      <x:c r="I15" s="185"/>
      <x:c r="J15" s="185"/>
      <x:c r="K15" s="185"/>
      <x:c r="L15" s="185"/>
      <x:c r="M15" s="185" t="str">
        <x:v>N/A</x:v>
      </x:c>
      <x:c r="N15" s="185"/>
      <x:c r="O15" s="185"/>
      <x:c r="P15" s="188" t="str">
        <x:f>IF(OR(F15="",F15="Unknown",G15="",H15="",I15="",J15=""),"INCOMPLETE",IF(LEN(I15)&lt;&gt;64,"BLOCKED",IF(F15="Conditional",IF(OR(K15="",L15="",M15="",M15="Unknown",N15="",O15=""),"INCOMPLETE",IF(OR(M15&lt;&gt;"Yes",LEN(O15)&lt;&gt;64),"BLOCKED","DOCUMENTED")),IF(OR(M15="",M15="Unknown"),"INCOMPLETE",IF(M15&lt;&gt;"N/A","BLOCKED",IF(E15="Explicit Yes/No",IF(OR(F15="Yes",F15="No"),"DOCUMENTED","BLOCKED"),IF(F15=E15,"DOCUMENTED","BLOCKED")))))))</x:f>
        <x:v>INCOMPLETE</x:v>
      </x:c>
    </x:row>
    <x:row r="16" ht="42" customHeight="1">
      <x:c r="A16" s="194" t="str">
        <x:v>R-CREDENTIALS</x:v>
      </x:c>
      <x:c r="B16" s="194" t="str">
        <x:v>all access methods</x:v>
      </x:c>
      <x:c r="C16" s="194" t="str">
        <x:v>prohibited_actions.credential_sharing</x:v>
      </x:c>
      <x:c r="D16" s="194" t="str">
        <x:v>Sharing provider credentials, tokens, cookies or account access</x:v>
      </x:c>
      <x:c r="E16" s="194" t="str">
        <x:v>No</x:v>
      </x:c>
      <x:c r="F16" s="194" t="str">
        <x:v>Unknown</x:v>
      </x:c>
      <x:c r="G16" s="194"/>
      <x:c r="H16" s="194"/>
      <x:c r="I16" s="194"/>
      <x:c r="J16" s="194"/>
      <x:c r="K16" s="194"/>
      <x:c r="L16" s="194"/>
      <x:c r="M16" s="194" t="str">
        <x:v>N/A</x:v>
      </x:c>
      <x:c r="N16" s="194"/>
      <x:c r="O16" s="194"/>
      <x:c r="P16" s="188" t="str">
        <x:f>IF(OR(F16="",F16="Unknown",G16="",H16="",I16="",J16=""),"INCOMPLETE",IF(LEN(I16)&lt;&gt;64,"BLOCKED",IF(F16="Conditional",IF(OR(K16="",L16="",M16="",M16="Unknown",N16="",O16=""),"INCOMPLETE",IF(OR(M16&lt;&gt;"Yes",LEN(O16)&lt;&gt;64),"BLOCKED","DOCUMENTED")),IF(OR(M16="",M16="Unknown"),"INCOMPLETE",IF(M16&lt;&gt;"N/A","BLOCKED",IF(E16="Explicit Yes/No",IF(OR(F16="Yes",F16="No"),"DOCUMENTED","BLOCKED"),IF(F16=E16,"DOCUMENTED","BLOCKED")))))))</x:f>
        <x:v>INCOMPLETE</x:v>
      </x:c>
    </x:row>
    <x:row r="18" ht="22.5" customHeight="1">
      <x:c r="A18" s="165" t="str">
        <x:v>Contract validity, attestation and post-expiry publication/review survival</x:v>
      </x:c>
      <x:c r="B18" s="165"/>
      <x:c r="C18" s="165"/>
      <x:c r="D18" s="165"/>
      <x:c r="E18" s="165"/>
      <x:c r="F18" s="165"/>
      <x:c r="G18" s="165"/>
      <x:c r="H18" s="165"/>
      <x:c r="I18" s="165"/>
      <x:c r="J18" s="165"/>
      <x:c r="K18" s="165"/>
      <x:c r="L18" s="165"/>
      <x:c r="M18" s="165"/>
      <x:c r="N18" s="165"/>
      <x:c r="O18" s="165"/>
      <x:c r="P18" s="165"/>
    </x:row>
    <x:row r="19" ht="51" customHeight="1">
      <x:c r="A19" s="177" t="str">
        <x:v>Contract Reference</x:v>
      </x:c>
      <x:c r="B19" s="178" t="str">
        <x:v>Effective At (ISO 8601)</x:v>
      </x:c>
      <x:c r="C19" s="178" t="str">
        <x:v>Expiry At (ISO 8601; blank only if no expiry)</x:v>
      </x:c>
      <x:c r="D19" s="178" t="str">
        <x:v>No Expiry Confirmed?</x:v>
      </x:c>
      <x:c r="E19" s="178" t="str">
        <x:v>Post-Expiry Publication &amp; Controlled-Review Rights Survive?</x:v>
      </x:c>
      <x:c r="F19" s="178" t="str">
        <x:v>Survival Evidence SHA-256</x:v>
      </x:c>
      <x:c r="G19" s="178" t="str">
        <x:v>Contract Evidence File</x:v>
      </x:c>
      <x:c r="H19" s="178" t="str">
        <x:v>Contract Evidence SHA-256</x:v>
      </x:c>
      <x:c r="I19" s="178" t="str">
        <x:v>Attested At (ISO 8601)</x:v>
      </x:c>
      <x:c r="J19" s="178" t="str">
        <x:v>Attestor</x:v>
      </x:c>
      <x:c r="K19" s="178" t="str">
        <x:v>Attestor Role / Authority</x:v>
      </x:c>
      <x:c r="L19" s="178" t="str">
        <x:v>Signature Type</x:v>
      </x:c>
      <x:c r="M19" s="178" t="str">
        <x:v>Signature Evidence SHA-256</x:v>
      </x:c>
      <x:c r="N19" s="178" t="str">
        <x:v>Verification URI</x:v>
      </x:c>
      <x:c r="O19" s="178" t="str">
        <x:v>Notes</x:v>
      </x:c>
      <x:c r="P19" s="179" t="str">
        <x:v>Row Completeness Status</x:v>
      </x:c>
    </x:row>
    <x:row r="20" ht="43.5" customHeight="1">
      <x:c r="A20" s="194"/>
      <x:c r="B20" s="194"/>
      <x:c r="C20" s="194"/>
      <x:c r="D20" s="194" t="str">
        <x:v>Unknown</x:v>
      </x:c>
      <x:c r="E20" s="194" t="str">
        <x:v>Unknown</x:v>
      </x:c>
      <x:c r="F20" s="194"/>
      <x:c r="G20" s="194"/>
      <x:c r="H20" s="194"/>
      <x:c r="I20" s="194"/>
      <x:c r="J20" s="194"/>
      <x:c r="K20" s="194"/>
      <x:c r="L20" s="194"/>
      <x:c r="M20" s="194"/>
      <x:c r="N20" s="194"/>
      <x:c r="O20" s="194"/>
      <x:c r="P20" s="188" t="str">
        <x:f>IF(OR(A20="",B20="",D20="",D20="Unknown",E20="",E20="Unknown",G20="",H20="",I20="",J20="",K20="",L20="",M20="",N20=""),"INCOMPLETE",IF(OR(LEN(H20)&lt;&gt;64,L20&lt;&gt;"human_verified_evidence",LEN(M20)&lt;&gt;64,AND(D20="Yes",C20&lt;&gt;""),AND(D20="No",C20=""),AND(D20="Yes",OR(E20&lt;&gt;"N/A",F20&lt;&gt;"")),AND(D20="No",OR(E20&lt;&gt;"Yes",LEN(F20)&lt;&gt;64))),"BLOCKED","DOCUMENTED"))</x:f>
        <x:v>INCOMPLETE</x:v>
      </x:c>
    </x:row>
    <x:row r="22" ht="22.5" customHeight="1">
      <x:c r="A22" s="165" t="str">
        <x:v>Resolved rights by delivered dataset role — these booleans feed the private machine attestation</x:v>
      </x:c>
      <x:c r="B22" s="165"/>
      <x:c r="C22" s="165"/>
      <x:c r="D22" s="165"/>
      <x:c r="E22" s="165"/>
      <x:c r="F22" s="165"/>
      <x:c r="G22" s="165"/>
      <x:c r="H22" s="165"/>
      <x:c r="I22" s="165"/>
      <x:c r="J22" s="165"/>
      <x:c r="K22" s="165"/>
      <x:c r="L22" s="165"/>
      <x:c r="M22" s="165"/>
      <x:c r="N22" s="165"/>
      <x:c r="O22" s="165"/>
      <x:c r="P22" s="165"/>
    </x:row>
    <x:row r="23" ht="51" customHeight="1">
      <x:c r="A23" s="177" t="str">
        <x:v>Dataset Role</x:v>
      </x:c>
      <x:c r="B23" s="178" t="str">
        <x:v>Source Name</x:v>
      </x:c>
      <x:c r="C23" s="178" t="str">
        <x:v>Source Reference</x:v>
      </x:c>
      <x:c r="D23" s="178" t="str">
        <x:v>Licence / Contract Scope</x:v>
      </x:c>
      <x:c r="E23" s="178" t="str">
        <x:v>Terms Evidence SHA-256</x:v>
      </x:c>
      <x:c r="F23" s="178" t="str">
        <x:v>Local Storage</x:v>
      </x:c>
      <x:c r="G23" s="178" t="str">
        <x:v>Local Analysis</x:v>
      </x:c>
      <x:c r="H23" s="178" t="str">
        <x:v>Aggregate Publication</x:v>
      </x:c>
      <x:c r="I23" s="178" t="str">
        <x:v>Hash Publication</x:v>
      </x:c>
      <x:c r="J23" s="178" t="str">
        <x:v>Controlled Reviewer Rerun</x:v>
      </x:c>
      <x:c r="K23" s="178" t="str">
        <x:v>Source Identity Publication</x:v>
      </x:c>
      <x:c r="L23" s="178" t="str">
        <x:v>Field-Mapping Citation</x:v>
      </x:c>
      <x:c r="M23" s="178" t="str">
        <x:v>Exact Calendar Dates Publication</x:v>
      </x:c>
      <x:c r="N23" s="178" t="str">
        <x:v>Raw Redistribution</x:v>
      </x:c>
      <x:c r="O23" s="178" t="str">
        <x:v>Restrictions + Structured Review Evidence Reference</x:v>
      </x:c>
      <x:c r="P23" s="179" t="str">
        <x:v>Row Completeness Status</x:v>
      </x:c>
    </x:row>
    <x:row r="24" ht="37.5" customHeight="1">
      <x:c r="A24" s="194" t="str">
        <x:v>quotes</x:v>
      </x:c>
      <x:c r="B24" s="194"/>
      <x:c r="C24" s="194"/>
      <x:c r="D24" s="194"/>
      <x:c r="E24" s="194"/>
      <x:c r="F24" s="194" t="str">
        <x:v>Unknown</x:v>
      </x:c>
      <x:c r="G24" s="194" t="str">
        <x:v>Unknown</x:v>
      </x:c>
      <x:c r="H24" s="194" t="str">
        <x:v>Unknown</x:v>
      </x:c>
      <x:c r="I24" s="194" t="str">
        <x:v>Unknown</x:v>
      </x:c>
      <x:c r="J24" s="194" t="str">
        <x:v>Unknown</x:v>
      </x:c>
      <x:c r="K24" s="194" t="str">
        <x:v>Unknown</x:v>
      </x:c>
      <x:c r="L24" s="194" t="str">
        <x:v>Unknown</x:v>
      </x:c>
      <x:c r="M24" s="194" t="str">
        <x:v>N/A</x:v>
      </x:c>
      <x:c r="N24" s="194" t="str">
        <x:v>Unknown</x:v>
      </x:c>
      <x:c r="O24" s="194"/>
      <x:c r="P24" s="188" t="str">
        <x:f>IF(OR(B24="",C24="",D24="",E24="",F24="",F24="Unknown",G24="",G24="Unknown",H24="",H24="Unknown",I24="",I24="Unknown",J24="",J24="Unknown",K24="",K24="Unknown",L24="",L24="Unknown",M24="",M24="Unknown",N24="",N24="Unknown",O24=""),"INCOMPLETE",IF(OR(LEN(E24)&lt;&gt;64,F24&lt;&gt;"Yes",G24&lt;&gt;"Yes",H24&lt;&gt;"Yes",I24&lt;&gt;"Yes",J24&lt;&gt;"Yes",K24&lt;&gt;"Yes",L24&lt;&gt;"Yes",AND(A24="official_calendar",M24&lt;&gt;"Yes"),AND(A24&lt;&gt;"official_calendar",M24&lt;&gt;"N/A"),N24&lt;&gt;"No"),"BLOCKED","DOCUMENTED"))</x:f>
        <x:v>INCOMPLETE</x:v>
      </x:c>
    </x:row>
    <x:row r="25" ht="37.5" customHeight="1">
      <x:c r="A25" s="185" t="str">
        <x:v>stock_master</x:v>
      </x:c>
      <x:c r="B25" s="185"/>
      <x:c r="C25" s="185"/>
      <x:c r="D25" s="185"/>
      <x:c r="E25" s="185"/>
      <x:c r="F25" s="185" t="str">
        <x:v>Unknown</x:v>
      </x:c>
      <x:c r="G25" s="185" t="str">
        <x:v>Unknown</x:v>
      </x:c>
      <x:c r="H25" s="185" t="str">
        <x:v>Unknown</x:v>
      </x:c>
      <x:c r="I25" s="185" t="str">
        <x:v>Unknown</x:v>
      </x:c>
      <x:c r="J25" s="185" t="str">
        <x:v>Unknown</x:v>
      </x:c>
      <x:c r="K25" s="185" t="str">
        <x:v>Unknown</x:v>
      </x:c>
      <x:c r="L25" s="185" t="str">
        <x:v>Unknown</x:v>
      </x:c>
      <x:c r="M25" s="185" t="str">
        <x:v>N/A</x:v>
      </x:c>
      <x:c r="N25" s="185" t="str">
        <x:v>Unknown</x:v>
      </x:c>
      <x:c r="O25" s="185"/>
      <x:c r="P25" s="188" t="str">
        <x:f>IF(OR(B25="",C25="",D25="",E25="",F25="",F25="Unknown",G25="",G25="Unknown",H25="",H25="Unknown",I25="",I25="Unknown",J25="",J25="Unknown",K25="",K25="Unknown",L25="",L25="Unknown",M25="",M25="Unknown",N25="",N25="Unknown",O25=""),"INCOMPLETE",IF(OR(LEN(E25)&lt;&gt;64,F25&lt;&gt;"Yes",G25&lt;&gt;"Yes",H25&lt;&gt;"Yes",I25&lt;&gt;"Yes",J25&lt;&gt;"Yes",K25&lt;&gt;"Yes",L25&lt;&gt;"Yes",AND(A25="official_calendar",M25&lt;&gt;"Yes"),AND(A25&lt;&gt;"official_calendar",M25&lt;&gt;"N/A"),N25&lt;&gt;"No"),"BLOCKED","DOCUMENTED"))</x:f>
        <x:v>INCOMPLETE</x:v>
      </x:c>
    </x:row>
    <x:row r="26" ht="37.5" customHeight="1">
      <x:c r="A26" s="194" t="str">
        <x:v>fundamentals</x:v>
      </x:c>
      <x:c r="B26" s="194"/>
      <x:c r="C26" s="194"/>
      <x:c r="D26" s="194"/>
      <x:c r="E26" s="194"/>
      <x:c r="F26" s="194" t="str">
        <x:v>Unknown</x:v>
      </x:c>
      <x:c r="G26" s="194" t="str">
        <x:v>Unknown</x:v>
      </x:c>
      <x:c r="H26" s="194" t="str">
        <x:v>Unknown</x:v>
      </x:c>
      <x:c r="I26" s="194" t="str">
        <x:v>Unknown</x:v>
      </x:c>
      <x:c r="J26" s="194" t="str">
        <x:v>Unknown</x:v>
      </x:c>
      <x:c r="K26" s="194" t="str">
        <x:v>Unknown</x:v>
      </x:c>
      <x:c r="L26" s="194" t="str">
        <x:v>Unknown</x:v>
      </x:c>
      <x:c r="M26" s="194" t="str">
        <x:v>N/A</x:v>
      </x:c>
      <x:c r="N26" s="194" t="str">
        <x:v>Unknown</x:v>
      </x:c>
      <x:c r="O26" s="194"/>
      <x:c r="P26" s="188" t="str">
        <x:f>IF(OR(B26="",C26="",D26="",E26="",F26="",F26="Unknown",G26="",G26="Unknown",H26="",H26="Unknown",I26="",I26="Unknown",J26="",J26="Unknown",K26="",K26="Unknown",L26="",L26="Unknown",M26="",M26="Unknown",N26="",N26="Unknown",O26=""),"INCOMPLETE",IF(OR(LEN(E26)&lt;&gt;64,F26&lt;&gt;"Yes",G26&lt;&gt;"Yes",H26&lt;&gt;"Yes",I26&lt;&gt;"Yes",J26&lt;&gt;"Yes",K26&lt;&gt;"Yes",L26&lt;&gt;"Yes",AND(A26="official_calendar",M26&lt;&gt;"Yes"),AND(A26&lt;&gt;"official_calendar",M26&lt;&gt;"N/A"),N26&lt;&gt;"No"),"BLOCKED","DOCUMENTED"))</x:f>
        <x:v>INCOMPLETE</x:v>
      </x:c>
    </x:row>
    <x:row r="27" ht="37.5" customHeight="1">
      <x:c r="A27" s="185" t="str">
        <x:v>official_calendar</x:v>
      </x:c>
      <x:c r="B27" s="185"/>
      <x:c r="C27" s="185"/>
      <x:c r="D27" s="185"/>
      <x:c r="E27" s="185"/>
      <x:c r="F27" s="185" t="str">
        <x:v>Unknown</x:v>
      </x:c>
      <x:c r="G27" s="185" t="str">
        <x:v>Unknown</x:v>
      </x:c>
      <x:c r="H27" s="185" t="str">
        <x:v>Unknown</x:v>
      </x:c>
      <x:c r="I27" s="185" t="str">
        <x:v>Unknown</x:v>
      </x:c>
      <x:c r="J27" s="185" t="str">
        <x:v>Unknown</x:v>
      </x:c>
      <x:c r="K27" s="185" t="str">
        <x:v>Unknown</x:v>
      </x:c>
      <x:c r="L27" s="185" t="str">
        <x:v>Unknown</x:v>
      </x:c>
      <x:c r="M27" s="185" t="str">
        <x:v>Unknown</x:v>
      </x:c>
      <x:c r="N27" s="185" t="str">
        <x:v>Unknown</x:v>
      </x:c>
      <x:c r="O27" s="185"/>
      <x:c r="P27" s="188" t="str">
        <x:f>IF(OR(B27="",C27="",D27="",E27="",F27="",F27="Unknown",G27="",G27="Unknown",H27="",H27="Unknown",I27="",I27="Unknown",J27="",J27="Unknown",K27="",K27="Unknown",L27="",L27="Unknown",M27="",M27="Unknown",N27="",N27="Unknown",O27=""),"INCOMPLETE",IF(OR(LEN(E27)&lt;&gt;64,F27&lt;&gt;"Yes",G27&lt;&gt;"Yes",H27&lt;&gt;"Yes",I27&lt;&gt;"Yes",J27&lt;&gt;"Yes",K27&lt;&gt;"Yes",L27&lt;&gt;"Yes",AND(A27="official_calendar",M27&lt;&gt;"Yes"),AND(A27&lt;&gt;"official_calendar",M27&lt;&gt;"N/A"),N27&lt;&gt;"No"),"BLOCKED","DOCUMENTED"))</x:f>
        <x:v>INCOMPLETE</x:v>
      </x:c>
    </x:row>
  </x:sheetData>
  <x:mergeCells>
    <x:mergeCell ref="A18:P18"/>
    <x:mergeCell ref="A22:P22"/>
    <x:mergeCell ref="A1:P1"/>
  </x:mergeCells>
  <x:conditionalFormatting sqref="J3:J14">
    <x:cfRule type="containsText" dxfId="5" priority="1" operator="containsText" text="DOCUMENTED"/>
    <x:cfRule type="containsText" dxfId="6" priority="2" operator="containsText" text="BLOCKED"/>
    <x:cfRule type="containsText" dxfId="7" priority="3" operator="containsText" text="REVIEW"/>
    <x:cfRule type="containsText" dxfId="8" priority="4" operator="containsText" text="INCOMPLETE"/>
    <x:cfRule type="containsText" dxfId="9" priority="5" operator="containsText" text="FORM_COMPLETE"/>
  </x:conditionalFormatting>
  <x:conditionalFormatting sqref="M3:M16">
    <x:cfRule type="containsText" dxfId="24" priority="6" operator="containsText" text="DOCUMENTED"/>
    <x:cfRule type="containsText" dxfId="25" priority="7" operator="containsText" text="REVIEW"/>
    <x:cfRule type="containsText" dxfId="26" priority="8" operator="containsText" text="BLOCKED"/>
    <x:cfRule type="containsText" dxfId="27" priority="9" operator="containsText" text="INCOMPLETE"/>
  </x:conditionalFormatting>
  <x:conditionalFormatting sqref="P3:P27">
    <x:cfRule type="containsText" dxfId="40" priority="10" operator="containsText" text="DOCUMENTED"/>
    <x:cfRule type="containsText" dxfId="41" priority="11" operator="containsText" text="REVIEW"/>
    <x:cfRule type="containsText" dxfId="42" priority="12" operator="containsText" text="BLOCKED"/>
  </x:conditionalFormatting>
  <x:dataValidations count="8">
    <x:dataValidation type="list" sqref="D3:D14">
      <x:formula1>"Yes,No,Conditional,Unknown"</x:formula1>
    </x:dataValidation>
    <x:dataValidation type="list" sqref="D3:D16">
      <x:formula1>"Unknown,Yes,No,Conditional"</x:formula1>
    </x:dataValidation>
    <x:dataValidation type="list" sqref="J3:J16">
      <x:formula1>"Unknown,Yes,No,N/A"</x:formula1>
    </x:dataValidation>
    <x:dataValidation type="list" sqref="F3:F16">
      <x:formula1>"Unknown,Yes,No,Conditional"</x:formula1>
    </x:dataValidation>
    <x:dataValidation type="list" sqref="M3:M16">
      <x:formula1>"Unknown,Yes,No,N/A"</x:formula1>
    </x:dataValidation>
    <x:dataValidation type="list" sqref="D20">
      <x:formula1>"Unknown,Yes,No"</x:formula1>
    </x:dataValidation>
    <x:dataValidation type="list" sqref="E20">
      <x:formula1>"Unknown,Yes,No,N/A"</x:formula1>
    </x:dataValidation>
    <x:dataValidation type="list" sqref="F24:N27">
      <x:formula1>"Unknown,Yes,No,N/A"</x:formula1>
    </x:dataValidation>
  </x:dataValidations>
  <x:pageMargins left="0.7" right="0.7" top="0.75" bottom="0.75" header="0.3" footer="0.3"/>
  <x:tableParts count="1">
    <x:tablePart xmlns:r="http://schemas.openxmlformats.org/officeDocument/2006/relationships" r:id="Ra39e66ffb63040ac"/>
  </x:tableParts>
</x:worksheet>
</file>

<file path=xl/worksheets/sheet4.xml><?xml version="1.0" encoding="utf-8"?>
<x:worksheet xmlns:x="http://schemas.openxmlformats.org/spreadsheetml/2006/main">
  <x:sheetViews>
    <x:sheetView showGridLines="0" workbookViewId="0"/>
  </x:sheetViews>
  <x:sheetFormatPr defaultRowHeight="15"/>
  <x:cols>
    <x:col min="1" max="1" width="20.559999465942383" hidden="0" customWidth="1"/>
    <x:col min="2" max="2" width="27.219999313354492" hidden="0" customWidth="1"/>
    <x:col min="3" max="3" width="20.559999465942383" hidden="0" customWidth="1"/>
    <x:col min="4" max="4" width="18.329999923706055" hidden="0" customWidth="1"/>
    <x:col min="5" max="5" width="13.890000343322754" hidden="0" customWidth="1"/>
    <x:col min="6" max="6" width="20" hidden="0" customWidth="1"/>
    <x:col min="7" max="7" width="10" hidden="0" customWidth="1"/>
    <x:col min="8" max="8" width="19.440000534057617" hidden="0" customWidth="1"/>
    <x:col min="9" max="9" width="13.890000343322754" hidden="0" customWidth="1"/>
    <x:col min="10" max="10" width="18.329999923706055" hidden="0" customWidth="1"/>
    <x:col min="11" max="11" width="11.109999656677246" hidden="0" customWidth="1"/>
    <x:col min="12" max="12" width="11.109999656677246" hidden="0" customWidth="1"/>
    <x:col min="13" max="13" width="17.780000686645508" hidden="0" customWidth="1"/>
    <x:col min="14" max="14" width="22.780000686645508" hidden="0" customWidth="1"/>
    <x:col min="15" max="15" width="23.329999923706055" hidden="0" customWidth="1"/>
    <x:col min="16" max="16" width="14.4399995803833" hidden="0" customWidth="1"/>
    <x:col min="17" max="17" width="13.890000343322754" hidden="0" customWidth="1"/>
  </x:cols>
  <x:sheetData>
    <x:row r="1" ht="24" customHeight="1">
      <x:c r="A1" s="165" t="str">
        <x:v>Private Data Delivery Documentation — Data Custodian to Complete</x:v>
      </x:c>
      <x:c r="B1" s="165"/>
      <x:c r="C1" s="165"/>
      <x:c r="D1" s="165"/>
      <x:c r="E1" s="165"/>
      <x:c r="F1" s="165"/>
      <x:c r="G1" s="165"/>
      <x:c r="H1" s="165"/>
      <x:c r="I1" s="165"/>
      <x:c r="J1" s="165"/>
      <x:c r="K1" s="165"/>
      <x:c r="L1" s="165"/>
      <x:c r="M1" s="165"/>
      <x:c r="N1" s="165"/>
      <x:c r="O1" s="165"/>
      <x:c r="P1" s="165"/>
      <x:c r="Q1" s="165"/>
    </x:row>
    <x:row r="2" ht="43.5" customHeight="1">
      <x:c r="A2" s="177" t="str">
        <x:v>Artifact Role</x:v>
      </x:c>
      <x:c r="B2" s="178" t="str">
        <x:v>Required Logical File</x:v>
      </x:c>
      <x:c r="C2" s="178" t="str">
        <x:v>Actual File Name</x:v>
      </x:c>
      <x:c r="D2" s="178" t="str">
        <x:v>Encrypted Transfer Method</x:v>
      </x:c>
      <x:c r="E2" s="178" t="str">
        <x:v>Password Sent Separately?</x:v>
      </x:c>
      <x:c r="F2" s="178" t="str">
        <x:v>Approved Private Location Class</x:v>
      </x:c>
      <x:c r="G2" s="178" t="str">
        <x:v>Bytes</x:v>
      </x:c>
      <x:c r="H2" s="178" t="str">
        <x:v>SHA-256</x:v>
      </x:c>
      <x:c r="I2" s="178" t="str">
        <x:v>Row Count / Record Count</x:v>
      </x:c>
      <x:c r="J2" s="178" t="str">
        <x:v>Provider Data / Document Version</x:v>
      </x:c>
      <x:c r="K2" s="178" t="str">
        <x:v>Coverage Start</x:v>
      </x:c>
      <x:c r="L2" s="178" t="str">
        <x:v>Coverage End</x:v>
      </x:c>
      <x:c r="M2" s="178" t="str">
        <x:v>Received / Extracted At (UTC)</x:v>
      </x:c>
      <x:c r="N2" s="178" t="str">
        <x:v>Field Dictionary / Related Evidence SHA-256</x:v>
      </x:c>
      <x:c r="O2" s="178" t="str">
        <x:v>Failed Batches / Notes</x:v>
      </x:c>
      <x:c r="P2" s="178" t="str">
        <x:v>All Failed Batches Resolved?</x:v>
      </x:c>
      <x:c r="Q2" s="179" t="str">
        <x:v>Row Completeness Status</x:v>
      </x:c>
    </x:row>
    <x:row r="3" ht="31.5" customHeight="1">
      <x:c r="A3" s="185" t="str">
        <x:v>quotes</x:v>
      </x:c>
      <x:c r="B3" s="185" t="str">
        <x:v>daily_quotes.csv</x:v>
      </x:c>
      <x:c r="C3" s="185"/>
      <x:c r="D3" s="185"/>
      <x:c r="E3" s="185" t="str">
        <x:v>Unknown</x:v>
      </x:c>
      <x:c r="F3" s="185"/>
      <x:c r="G3" s="185"/>
      <x:c r="H3" s="185"/>
      <x:c r="I3" s="185"/>
      <x:c r="J3" s="185"/>
      <x:c r="K3" s="195"/>
      <x:c r="L3" s="195"/>
      <x:c r="M3" s="185"/>
      <x:c r="N3" s="185"/>
      <x:c r="O3" s="185"/>
      <x:c r="P3" s="185" t="str">
        <x:v>Unknown</x:v>
      </x:c>
      <x:c r="Q3" s="188" t="str">
        <x:f>IF(OR(C3="",D3="",E3="",E3="Unknown",F3="",G3="",H3="",I3="",J3="",K3="",L3="",M3="",N3="",O3="",P3="",P3="Unknown"),"INCOMPLETE",IF(OR(E3="No",P3="No",G3&lt;=0,I3&lt;=0,K3&gt;L3,LEN(H3)&lt;&gt;64,LEN(N3)&lt;&gt;64),"BLOCKED","DOCUMENTED"))</x:f>
        <x:v>INCOMPLETE</x:v>
      </x:c>
    </x:row>
    <x:row r="4" ht="31.5" customHeight="1">
      <x:c r="A4" s="194" t="str">
        <x:v>stock_master</x:v>
      </x:c>
      <x:c r="B4" s="194" t="str">
        <x:v>stock_master.csv</x:v>
      </x:c>
      <x:c r="C4" s="194"/>
      <x:c r="D4" s="194"/>
      <x:c r="E4" s="194" t="str">
        <x:v>Unknown</x:v>
      </x:c>
      <x:c r="F4" s="194"/>
      <x:c r="G4" s="194"/>
      <x:c r="H4" s="194"/>
      <x:c r="I4" s="194"/>
      <x:c r="J4" s="194"/>
      <x:c r="K4" s="196"/>
      <x:c r="L4" s="196"/>
      <x:c r="M4" s="194"/>
      <x:c r="N4" s="194"/>
      <x:c r="O4" s="194"/>
      <x:c r="P4" s="194" t="str">
        <x:v>Unknown</x:v>
      </x:c>
      <x:c r="Q4" s="188" t="str">
        <x:f>IF(OR(C4="",D4="",E4="",E4="Unknown",F4="",G4="",H4="",I4="",J4="",K4="",L4="",M4="",N4="",O4="",P4="",P4="Unknown"),"INCOMPLETE",IF(OR(E4="No",P4="No",G4&lt;=0,I4&lt;=0,K4&gt;L4,LEN(H4)&lt;&gt;64,LEN(N4)&lt;&gt;64),"BLOCKED","DOCUMENTED"))</x:f>
        <x:v>INCOMPLETE</x:v>
      </x:c>
    </x:row>
    <x:row r="5" ht="31.5" customHeight="1">
      <x:c r="A5" s="185" t="str">
        <x:v>fundamentals</x:v>
      </x:c>
      <x:c r="B5" s="185" t="str">
        <x:v>fundamentals.csv</x:v>
      </x:c>
      <x:c r="C5" s="185"/>
      <x:c r="D5" s="185"/>
      <x:c r="E5" s="185" t="str">
        <x:v>Unknown</x:v>
      </x:c>
      <x:c r="F5" s="185"/>
      <x:c r="G5" s="185"/>
      <x:c r="H5" s="185"/>
      <x:c r="I5" s="185"/>
      <x:c r="J5" s="185"/>
      <x:c r="K5" s="195"/>
      <x:c r="L5" s="195"/>
      <x:c r="M5" s="185"/>
      <x:c r="N5" s="185"/>
      <x:c r="O5" s="185"/>
      <x:c r="P5" s="185" t="str">
        <x:v>Unknown</x:v>
      </x:c>
      <x:c r="Q5" s="188" t="str">
        <x:f>IF(OR(C5="",D5="",E5="",E5="Unknown",F5="",G5="",H5="",I5="",J5="",K5="",L5="",M5="",N5="",O5="",P5="",P5="Unknown"),"INCOMPLETE",IF(OR(E5="No",P5="No",G5&lt;=0,I5&lt;=0,K5&gt;L5,LEN(H5)&lt;&gt;64,LEN(N5)&lt;&gt;64),"BLOCKED","DOCUMENTED"))</x:f>
        <x:v>INCOMPLETE</x:v>
      </x:c>
    </x:row>
    <x:row r="6" ht="31.5" customHeight="1">
      <x:c r="A6" s="194" t="str">
        <x:v>sse_calendar_raw</x:v>
      </x:c>
      <x:c r="B6" s="194" t="str">
        <x:v>sse_calendar.raw</x:v>
      </x:c>
      <x:c r="C6" s="194"/>
      <x:c r="D6" s="194"/>
      <x:c r="E6" s="194" t="str">
        <x:v>Unknown</x:v>
      </x:c>
      <x:c r="F6" s="194"/>
      <x:c r="G6" s="194"/>
      <x:c r="H6" s="194"/>
      <x:c r="I6" s="194"/>
      <x:c r="J6" s="194"/>
      <x:c r="K6" s="196"/>
      <x:c r="L6" s="196"/>
      <x:c r="M6" s="194"/>
      <x:c r="N6" s="194"/>
      <x:c r="O6" s="194"/>
      <x:c r="P6" s="194" t="str">
        <x:v>Unknown</x:v>
      </x:c>
      <x:c r="Q6" s="188" t="str">
        <x:f>IF(OR(C6="",D6="",E6="",E6="Unknown",F6="",G6="",H6="",I6="",J6="",K6="",L6="",M6="",N6="",O6="",P6="",P6="Unknown"),"INCOMPLETE",IF(OR(E6="No",P6="No",G6&lt;=0,I6&lt;=0,K6&gt;L6,LEN(H6)&lt;&gt;64,LEN(N6)&lt;&gt;64),"BLOCKED","DOCUMENTED"))</x:f>
        <x:v>INCOMPLETE</x:v>
      </x:c>
    </x:row>
    <x:row r="7" ht="31.5" customHeight="1">
      <x:c r="A7" s="185" t="str">
        <x:v>szse_calendar_raw</x:v>
      </x:c>
      <x:c r="B7" s="185" t="str">
        <x:v>szse_calendar.raw</x:v>
      </x:c>
      <x:c r="C7" s="185"/>
      <x:c r="D7" s="185"/>
      <x:c r="E7" s="185" t="str">
        <x:v>Unknown</x:v>
      </x:c>
      <x:c r="F7" s="185"/>
      <x:c r="G7" s="185"/>
      <x:c r="H7" s="185"/>
      <x:c r="I7" s="185"/>
      <x:c r="J7" s="185"/>
      <x:c r="K7" s="195"/>
      <x:c r="L7" s="195"/>
      <x:c r="M7" s="185"/>
      <x:c r="N7" s="185"/>
      <x:c r="O7" s="185"/>
      <x:c r="P7" s="185" t="str">
        <x:v>Unknown</x:v>
      </x:c>
      <x:c r="Q7" s="188" t="str">
        <x:f>IF(OR(C7="",D7="",E7="",E7="Unknown",F7="",G7="",H7="",I7="",J7="",K7="",L7="",M7="",N7="",O7="",P7="",P7="Unknown"),"INCOMPLETE",IF(OR(E7="No",P7="No",G7&lt;=0,I7&lt;=0,K7&gt;L7,LEN(H7)&lt;&gt;64,LEN(N7)&lt;&gt;64),"BLOCKED","DOCUMENTED"))</x:f>
        <x:v>INCOMPLETE</x:v>
      </x:c>
    </x:row>
    <x:row r="8" ht="31.5" customHeight="1">
      <x:c r="A8" s="194" t="str">
        <x:v>official_calendar</x:v>
      </x:c>
      <x:c r="B8" s="194" t="str">
        <x:v>official_common_calendar.csv</x:v>
      </x:c>
      <x:c r="C8" s="194"/>
      <x:c r="D8" s="194"/>
      <x:c r="E8" s="194" t="str">
        <x:v>Unknown</x:v>
      </x:c>
      <x:c r="F8" s="194"/>
      <x:c r="G8" s="194"/>
      <x:c r="H8" s="194"/>
      <x:c r="I8" s="194"/>
      <x:c r="J8" s="194"/>
      <x:c r="K8" s="196"/>
      <x:c r="L8" s="196"/>
      <x:c r="M8" s="194"/>
      <x:c r="N8" s="194"/>
      <x:c r="O8" s="194"/>
      <x:c r="P8" s="194" t="str">
        <x:v>Unknown</x:v>
      </x:c>
      <x:c r="Q8" s="188" t="str">
        <x:f>IF(OR(C8="",D8="",E8="",E8="Unknown",F8="",G8="",H8="",I8="",J8="",K8="",L8="",M8="",N8="",O8="",P8="",P8="Unknown"),"INCOMPLETE",IF(OR(E8="No",P8="No",G8&lt;=0,I8&lt;=0,K8&gt;L8,LEN(H8)&lt;&gt;64,LEN(N8)&lt;&gt;64),"BLOCKED","DOCUMENTED"))</x:f>
        <x:v>INCOMPLETE</x:v>
      </x:c>
    </x:row>
    <x:row r="9" ht="31.5" customHeight="1">
      <x:c r="A9" s="185" t="str">
        <x:v>calendar_intersection_log</x:v>
      </x:c>
      <x:c r="B9" s="185" t="str">
        <x:v>calendar_intersection_log.json</x:v>
      </x:c>
      <x:c r="C9" s="185"/>
      <x:c r="D9" s="185"/>
      <x:c r="E9" s="185" t="str">
        <x:v>Unknown</x:v>
      </x:c>
      <x:c r="F9" s="185"/>
      <x:c r="G9" s="185"/>
      <x:c r="H9" s="185"/>
      <x:c r="I9" s="185"/>
      <x:c r="J9" s="185"/>
      <x:c r="K9" s="195"/>
      <x:c r="L9" s="195"/>
      <x:c r="M9" s="185"/>
      <x:c r="N9" s="185"/>
      <x:c r="O9" s="185"/>
      <x:c r="P9" s="185" t="str">
        <x:v>Unknown</x:v>
      </x:c>
      <x:c r="Q9" s="188" t="str">
        <x:f>IF(OR(C9="",D9="",E9="",E9="Unknown",F9="",G9="",H9="",J9="",M9="",O9="",P9="",P9="Unknown"),"INCOMPLETE",IF(OR(E9="No",P9="No",G9&lt;=0,LEN(H9)&lt;&gt;64),"BLOCKED","DOCUMENTED"))</x:f>
        <x:v>INCOMPLETE</x:v>
      </x:c>
    </x:row>
    <x:row r="10" ht="31.5" customHeight="1">
      <x:c r="A10" s="194" t="str">
        <x:v>contract_terms</x:v>
      </x:c>
      <x:c r="B10" s="194" t="str">
        <x:v>contract_or_terms_evidence.pdf</x:v>
      </x:c>
      <x:c r="C10" s="194"/>
      <x:c r="D10" s="194"/>
      <x:c r="E10" s="194" t="str">
        <x:v>Unknown</x:v>
      </x:c>
      <x:c r="F10" s="194"/>
      <x:c r="G10" s="194"/>
      <x:c r="H10" s="194"/>
      <x:c r="I10" s="194"/>
      <x:c r="J10" s="194"/>
      <x:c r="K10" s="196"/>
      <x:c r="L10" s="196"/>
      <x:c r="M10" s="194"/>
      <x:c r="N10" s="194"/>
      <x:c r="O10" s="194"/>
      <x:c r="P10" s="194" t="str">
        <x:v>Unknown</x:v>
      </x:c>
      <x:c r="Q10" s="188" t="str">
        <x:f>IF(OR(C10="",D10="",E10="",E10="Unknown",F10="",G10="",H10="",J10="",M10="",O10="",P10="",P10="Unknown"),"INCOMPLETE",IF(OR(E10="No",P10="No",G10&lt;=0,LEN(H10)&lt;&gt;64),"BLOCKED","DOCUMENTED"))</x:f>
        <x:v>INCOMPLETE</x:v>
      </x:c>
    </x:row>
    <x:row r="11" ht="31.5" customHeight="1">
      <x:c r="A11" s="185" t="str">
        <x:v>rights_confirmation</x:v>
      </x:c>
      <x:c r="B11" s="185" t="str">
        <x:v>provider_rights_confirmation.completed.pdf</x:v>
      </x:c>
      <x:c r="C11" s="185"/>
      <x:c r="D11" s="185"/>
      <x:c r="E11" s="185" t="str">
        <x:v>Unknown</x:v>
      </x:c>
      <x:c r="F11" s="185"/>
      <x:c r="G11" s="185"/>
      <x:c r="H11" s="185"/>
      <x:c r="I11" s="185"/>
      <x:c r="J11" s="185"/>
      <x:c r="K11" s="195"/>
      <x:c r="L11" s="195"/>
      <x:c r="M11" s="185"/>
      <x:c r="N11" s="185"/>
      <x:c r="O11" s="185"/>
      <x:c r="P11" s="185" t="str">
        <x:v>Unknown</x:v>
      </x:c>
      <x:c r="Q11" s="188" t="str">
        <x:f>IF(OR(C11="",D11="",E11="",E11="Unknown",F11="",G11="",H11="",J11="",M11="",O11="",P11="",P11="Unknown"),"INCOMPLETE",IF(OR(E11="No",P11="No",G11&lt;=0,LEN(H11)&lt;&gt;64),"BLOCKED","DOCUMENTED"))</x:f>
        <x:v>INCOMPLETE</x:v>
      </x:c>
    </x:row>
    <x:row r="12" ht="31.5" customHeight="1">
      <x:c r="A12" s="194" t="str">
        <x:v>field_dictionary</x:v>
      </x:c>
      <x:c r="B12" s="194" t="str">
        <x:v>provider_field_dictionary.pdf</x:v>
      </x:c>
      <x:c r="C12" s="194"/>
      <x:c r="D12" s="194"/>
      <x:c r="E12" s="194" t="str">
        <x:v>Unknown</x:v>
      </x:c>
      <x:c r="F12" s="194"/>
      <x:c r="G12" s="194"/>
      <x:c r="H12" s="194"/>
      <x:c r="I12" s="194"/>
      <x:c r="J12" s="194"/>
      <x:c r="K12" s="196"/>
      <x:c r="L12" s="196"/>
      <x:c r="M12" s="194"/>
      <x:c r="N12" s="194"/>
      <x:c r="O12" s="194"/>
      <x:c r="P12" s="194" t="str">
        <x:v>Unknown</x:v>
      </x:c>
      <x:c r="Q12" s="188" t="str">
        <x:f>IF(OR(C12="",D12="",E12="",E12="Unknown",F12="",G12="",H12="",J12="",M12="",O12="",P12="",P12="Unknown"),"INCOMPLETE",IF(OR(E12="No",P12="No",G12&lt;=0,LEN(H12)&lt;&gt;64),"BLOCKED","DOCUMENTED"))</x:f>
        <x:v>INCOMPLETE</x:v>
      </x:c>
    </x:row>
    <x:row r="13" ht="31.5" customHeight="1">
      <x:c r="A13" s="185" t="str">
        <x:v>provider_close_raw_definition</x:v>
      </x:c>
      <x:c r="B13" s="185" t="str">
        <x:v>provider_close_raw_definition.evidence</x:v>
      </x:c>
      <x:c r="C13" s="185"/>
      <x:c r="D13" s="185"/>
      <x:c r="E13" s="185" t="str">
        <x:v>Unknown</x:v>
      </x:c>
      <x:c r="F13" s="185"/>
      <x:c r="G13" s="185"/>
      <x:c r="H13" s="185"/>
      <x:c r="I13" s="185"/>
      <x:c r="J13" s="185"/>
      <x:c r="K13" s="195"/>
      <x:c r="L13" s="195"/>
      <x:c r="M13" s="185"/>
      <x:c r="N13" s="185"/>
      <x:c r="O13" s="185"/>
      <x:c r="P13" s="185" t="str">
        <x:v>Unknown</x:v>
      </x:c>
      <x:c r="Q13" s="188" t="str">
        <x:f>IF(OR(C13="",D13="",E13="",E13="Unknown",F13="",G13="",H13="",J13="",M13="",O13="",P13="",P13="Unknown"),"INCOMPLETE",IF(OR(E13="No",P13="No",G13&lt;=0,LEN(H13)&lt;&gt;64),"BLOCKED","DOCUMENTED"))</x:f>
        <x:v>INCOMPLETE</x:v>
      </x:c>
    </x:row>
    <x:row r="14" ht="31.5" customHeight="1">
      <x:c r="A14" s="194" t="str">
        <x:v>provider_adjustment_factor_definition</x:v>
      </x:c>
      <x:c r="B14" s="194" t="str">
        <x:v>provider_adjustment_factor_definition.evidence</x:v>
      </x:c>
      <x:c r="C14" s="194"/>
      <x:c r="D14" s="194"/>
      <x:c r="E14" s="194" t="str">
        <x:v>Unknown</x:v>
      </x:c>
      <x:c r="F14" s="194"/>
      <x:c r="G14" s="194"/>
      <x:c r="H14" s="194"/>
      <x:c r="I14" s="194"/>
      <x:c r="J14" s="194"/>
      <x:c r="K14" s="196"/>
      <x:c r="L14" s="196"/>
      <x:c r="M14" s="194"/>
      <x:c r="N14" s="194"/>
      <x:c r="O14" s="194"/>
      <x:c r="P14" s="194" t="str">
        <x:v>Unknown</x:v>
      </x:c>
      <x:c r="Q14" s="188" t="str">
        <x:f>IF(OR(C14="",D14="",E14="",E14="Unknown",F14="",G14="",H14="",J14="",M14="",O14="",P14="",P14="Unknown"),"INCOMPLETE",IF(OR(E14="No",P14="No",G14&lt;=0,LEN(H14)&lt;&gt;64),"BLOCKED","DOCUMENTED"))</x:f>
        <x:v>INCOMPLETE</x:v>
      </x:c>
    </x:row>
    <x:row r="15" ht="31.5" customHeight="1">
      <x:c r="A15" s="185" t="str">
        <x:v>price_adjustment_normalization</x:v>
      </x:c>
      <x:c r="B15" s="185" t="str">
        <x:v>price_adjustment_normalization_or_adapter.evidence</x:v>
      </x:c>
      <x:c r="C15" s="185"/>
      <x:c r="D15" s="185"/>
      <x:c r="E15" s="185" t="str">
        <x:v>Unknown</x:v>
      </x:c>
      <x:c r="F15" s="185"/>
      <x:c r="G15" s="185"/>
      <x:c r="H15" s="185"/>
      <x:c r="I15" s="185"/>
      <x:c r="J15" s="185"/>
      <x:c r="K15" s="195"/>
      <x:c r="L15" s="195"/>
      <x:c r="M15" s="185"/>
      <x:c r="N15" s="185"/>
      <x:c r="O15" s="185"/>
      <x:c r="P15" s="185" t="str">
        <x:v>Unknown</x:v>
      </x:c>
      <x:c r="Q15" s="188" t="str">
        <x:f>IF(OR(C15="",D15="",E15="",E15="Unknown",F15="",G15="",H15="",J15="",M15="",O15="",P15="",P15="Unknown"),"INCOMPLETE",IF(OR(E15="No",P15="No",G15&lt;=0,LEN(H15)&lt;&gt;64),"BLOCKED","DOCUMENTED"))</x:f>
        <x:v>INCOMPLETE</x:v>
      </x:c>
    </x:row>
    <x:row r="16" ht="31.5" customHeight="1">
      <x:c r="A16" s="194" t="str">
        <x:v>amount_unit_normalization</x:v>
      </x:c>
      <x:c r="B16" s="194" t="str">
        <x:v>amount_unit_normalization.evidence</x:v>
      </x:c>
      <x:c r="C16" s="194"/>
      <x:c r="D16" s="194"/>
      <x:c r="E16" s="194" t="str">
        <x:v>Unknown</x:v>
      </x:c>
      <x:c r="F16" s="194"/>
      <x:c r="G16" s="194"/>
      <x:c r="H16" s="194"/>
      <x:c r="I16" s="194"/>
      <x:c r="J16" s="194"/>
      <x:c r="K16" s="196"/>
      <x:c r="L16" s="196"/>
      <x:c r="M16" s="194"/>
      <x:c r="N16" s="194"/>
      <x:c r="O16" s="194"/>
      <x:c r="P16" s="194" t="str">
        <x:v>Unknown</x:v>
      </x:c>
      <x:c r="Q16" s="188" t="str">
        <x:f>IF(OR(C16="",D16="",E16="",E16="Unknown",F16="",G16="",H16="",J16="",M16="",O16="",P16="",P16="Unknown"),"INCOMPLETE",IF(OR(E16="No",P16="No",G16&lt;=0,LEN(H16)&lt;&gt;64),"BLOCKED","DOCUMENTED"))</x:f>
        <x:v>INCOMPLETE</x:v>
      </x:c>
    </x:row>
    <x:row r="17" ht="31.5" customHeight="1">
      <x:c r="A17" s="185" t="str">
        <x:v>security_identifier_definition</x:v>
      </x:c>
      <x:c r="B17" s="185" t="str">
        <x:v>provider_security_identifier_definition.evidence</x:v>
      </x:c>
      <x:c r="C17" s="185"/>
      <x:c r="D17" s="185"/>
      <x:c r="E17" s="185" t="str">
        <x:v>Unknown</x:v>
      </x:c>
      <x:c r="F17" s="185"/>
      <x:c r="G17" s="185"/>
      <x:c r="H17" s="185"/>
      <x:c r="I17" s="185"/>
      <x:c r="J17" s="185"/>
      <x:c r="K17" s="195"/>
      <x:c r="L17" s="195"/>
      <x:c r="M17" s="185"/>
      <x:c r="N17" s="185"/>
      <x:c r="O17" s="185"/>
      <x:c r="P17" s="185" t="str">
        <x:v>Unknown</x:v>
      </x:c>
      <x:c r="Q17" s="188" t="str">
        <x:f>IF(OR(C17="",D17="",E17="",E17="Unknown",F17="",G17="",H17="",J17="",M17="",O17="",P17="",P17="Unknown"),"INCOMPLETE",IF(OR(E17="No",P17="No",G17&lt;=0,LEN(H17)&lt;&gt;64),"BLOCKED","DOCUMENTED"))</x:f>
        <x:v>INCOMPLETE</x:v>
      </x:c>
    </x:row>
    <x:row r="18" ht="31.5" customHeight="1">
      <x:c r="A18" s="194" t="str">
        <x:v>code_change_mapping</x:v>
      </x:c>
      <x:c r="B18" s="194" t="str">
        <x:v>historical_code_change_mapping.evidence</x:v>
      </x:c>
      <x:c r="C18" s="194"/>
      <x:c r="D18" s="194"/>
      <x:c r="E18" s="194" t="str">
        <x:v>Unknown</x:v>
      </x:c>
      <x:c r="F18" s="194"/>
      <x:c r="G18" s="194"/>
      <x:c r="H18" s="194"/>
      <x:c r="I18" s="194"/>
      <x:c r="J18" s="194"/>
      <x:c r="K18" s="196"/>
      <x:c r="L18" s="196"/>
      <x:c r="M18" s="194"/>
      <x:c r="N18" s="194"/>
      <x:c r="O18" s="194"/>
      <x:c r="P18" s="194" t="str">
        <x:v>Unknown</x:v>
      </x:c>
      <x:c r="Q18" s="188" t="str">
        <x:f>IF(OR(C18="",D18="",E18="",E18="Unknown",F18="",G18="",H18="",J18="",M18="",O18="",P18="",P18="Unknown"),"INCOMPLETE",IF(OR(E18="No",P18="No",G18&lt;=0,LEN(H18)&lt;&gt;64),"BLOCKED","DOCUMENTED"))</x:f>
        <x:v>INCOMPLETE</x:v>
      </x:c>
    </x:row>
    <x:row r="19" ht="31.5" customHeight="1">
      <x:c r="A19" s="185" t="str">
        <x:v>suspension_valuation_semantics</x:v>
      </x:c>
      <x:c r="B19" s="185" t="str">
        <x:v>suspension_valuation_semantics.evidence</x:v>
      </x:c>
      <x:c r="C19" s="185"/>
      <x:c r="D19" s="185"/>
      <x:c r="E19" s="185" t="str">
        <x:v>Unknown</x:v>
      </x:c>
      <x:c r="F19" s="185"/>
      <x:c r="G19" s="185"/>
      <x:c r="H19" s="185"/>
      <x:c r="I19" s="185"/>
      <x:c r="J19" s="185"/>
      <x:c r="K19" s="195"/>
      <x:c r="L19" s="195"/>
      <x:c r="M19" s="185"/>
      <x:c r="N19" s="185"/>
      <x:c r="O19" s="185"/>
      <x:c r="P19" s="185" t="str">
        <x:v>Unknown</x:v>
      </x:c>
      <x:c r="Q19" s="188" t="str">
        <x:f>IF(OR(C19="",D19="",E19="",E19="Unknown",F19="",G19="",H19="",J19="",M19="",O19="",P19="",P19="Unknown"),"INCOMPLETE",IF(OR(E19="No",P19="No",G19&lt;=0,LEN(H19)&lt;&gt;64),"BLOCKED","DOCUMENTED"))</x:f>
        <x:v>INCOMPLETE</x:v>
      </x:c>
    </x:row>
    <x:row r="20" ht="31.5" customHeight="1">
      <x:c r="A20" s="194" t="str">
        <x:v>terminal_survivor_comparator</x:v>
      </x:c>
      <x:c r="B20" s="194" t="str">
        <x:v>terminal_survivor_comparator_review.evidence</x:v>
      </x:c>
      <x:c r="C20" s="194"/>
      <x:c r="D20" s="194"/>
      <x:c r="E20" s="194" t="str">
        <x:v>Unknown</x:v>
      </x:c>
      <x:c r="F20" s="194"/>
      <x:c r="G20" s="194"/>
      <x:c r="H20" s="194"/>
      <x:c r="I20" s="194"/>
      <x:c r="J20" s="194"/>
      <x:c r="K20" s="196"/>
      <x:c r="L20" s="196"/>
      <x:c r="M20" s="194"/>
      <x:c r="N20" s="194"/>
      <x:c r="O20" s="194"/>
      <x:c r="P20" s="194" t="str">
        <x:v>Unknown</x:v>
      </x:c>
      <x:c r="Q20" s="188" t="str">
        <x:f>IF(OR(C20="",D20="",E20="",E20="Unknown",F20="",G20="",H20="",J20="",M20="",O20="",P20="",P20="Unknown"),"INCOMPLETE",IF(OR(E20="No",P20="No",G20&lt;=0,LEN(H20)&lt;&gt;64),"BLOCKED","DOCUMENTED"))</x:f>
        <x:v>INCOMPLETE</x:v>
      </x:c>
    </x:row>
    <x:row r="21" ht="31.5" customHeight="1">
      <x:c r="A21" s="185" t="str">
        <x:v>extraction_log</x:v>
      </x:c>
      <x:c r="B21" s="185" t="str">
        <x:v>extraction_log.json</x:v>
      </x:c>
      <x:c r="C21" s="185"/>
      <x:c r="D21" s="185"/>
      <x:c r="E21" s="185" t="str">
        <x:v>Unknown</x:v>
      </x:c>
      <x:c r="F21" s="185"/>
      <x:c r="G21" s="185"/>
      <x:c r="H21" s="185"/>
      <x:c r="I21" s="185"/>
      <x:c r="J21" s="185"/>
      <x:c r="K21" s="195"/>
      <x:c r="L21" s="195"/>
      <x:c r="M21" s="185"/>
      <x:c r="N21" s="185"/>
      <x:c r="O21" s="185"/>
      <x:c r="P21" s="185" t="str">
        <x:v>Unknown</x:v>
      </x:c>
      <x:c r="Q21" s="188" t="str">
        <x:f>IF(OR(C21="",D21="",E21="",E21="Unknown",F21="",G21="",H21="",J21="",M21="",O21="",P21="",P21="Unknown"),"INCOMPLETE",IF(OR(E21="No",P21="No",G21&lt;=0,LEN(H21)&lt;&gt;64),"BLOCKED","DOCUMENTED"))</x:f>
        <x:v>INCOMPLETE</x:v>
      </x:c>
    </x:row>
    <x:row r="22" ht="31.5" customHeight="1">
      <x:c r="A22" s="194" t="str">
        <x:v>provider_capability_response</x:v>
      </x:c>
      <x:c r="B22" s="194" t="str">
        <x:v>provider_capability_and_field_mapping.completed.xlsx</x:v>
      </x:c>
      <x:c r="C22" s="194"/>
      <x:c r="D22" s="194"/>
      <x:c r="E22" s="194" t="str">
        <x:v>Unknown</x:v>
      </x:c>
      <x:c r="F22" s="194"/>
      <x:c r="G22" s="194"/>
      <x:c r="H22" s="194"/>
      <x:c r="I22" s="194"/>
      <x:c r="J22" s="194"/>
      <x:c r="K22" s="196"/>
      <x:c r="L22" s="196"/>
      <x:c r="M22" s="194"/>
      <x:c r="N22" s="194"/>
      <x:c r="O22" s="194"/>
      <x:c r="P22" s="194" t="str">
        <x:v>Unknown</x:v>
      </x:c>
      <x:c r="Q22" s="188" t="str">
        <x:f>IF(OR(C22="",D22="",E22="",E22="Unknown",F22="",G22="",H22="",J22="",M22="",O22="",P22="",P22="Unknown"),"INCOMPLETE",IF(OR(E22="No",P22="No",G22&lt;=0,LEN(H22)&lt;&gt;64),"BLOCKED","DOCUMENTED"))</x:f>
        <x:v>INCOMPLETE</x:v>
      </x:c>
    </x:row>
    <x:row r="23" ht="31.5" customHeight="1">
      <x:c r="A23" s="185" t="str">
        <x:v>data_declaration</x:v>
      </x:c>
      <x:c r="B23" s="185" t="str">
        <x:v>data_declaration.json</x:v>
      </x:c>
      <x:c r="C23" s="185"/>
      <x:c r="D23" s="185"/>
      <x:c r="E23" s="185" t="str">
        <x:v>Unknown</x:v>
      </x:c>
      <x:c r="F23" s="185"/>
      <x:c r="G23" s="185"/>
      <x:c r="H23" s="185"/>
      <x:c r="I23" s="185"/>
      <x:c r="J23" s="185"/>
      <x:c r="K23" s="195"/>
      <x:c r="L23" s="195"/>
      <x:c r="M23" s="185"/>
      <x:c r="N23" s="185"/>
      <x:c r="O23" s="185"/>
      <x:c r="P23" s="185" t="str">
        <x:v>Unknown</x:v>
      </x:c>
      <x:c r="Q23" s="188" t="str">
        <x:f>IF(OR(C23="",D23="",E23="",E23="Unknown",F23="",G23="",H23="",J23="",M23="",O23="",P23="",P23="Unknown"),"INCOMPLETE",IF(OR(E23="No",P23="No",G23&lt;=0,LEN(H23)&lt;&gt;64),"BLOCKED","DOCUMENTED"))</x:f>
        <x:v>INCOMPLETE</x:v>
      </x:c>
    </x:row>
    <x:row r="24" ht="31.5" customHeight="1">
      <x:c r="A24" s="194" t="str">
        <x:v>data_rights_attestation</x:v>
      </x:c>
      <x:c r="B24" s="194" t="str">
        <x:v>data_rights_attestation.json</x:v>
      </x:c>
      <x:c r="C24" s="194"/>
      <x:c r="D24" s="194"/>
      <x:c r="E24" s="194" t="str">
        <x:v>Unknown</x:v>
      </x:c>
      <x:c r="F24" s="194"/>
      <x:c r="G24" s="194"/>
      <x:c r="H24" s="194"/>
      <x:c r="I24" s="194"/>
      <x:c r="J24" s="194"/>
      <x:c r="K24" s="196"/>
      <x:c r="L24" s="196"/>
      <x:c r="M24" s="194"/>
      <x:c r="N24" s="194"/>
      <x:c r="O24" s="194"/>
      <x:c r="P24" s="194" t="str">
        <x:v>Unknown</x:v>
      </x:c>
      <x:c r="Q24" s="188" t="str">
        <x:f>IF(OR(C24="",D24="",E24="",E24="Unknown",F24="",G24="",H24="",J24="",M24="",O24="",P24="",P24="Unknown"),"INCOMPLETE",IF(OR(E24="No",P24="No",G24&lt;=0,LEN(H24)&lt;&gt;64),"BLOCKED","DOCUMENTED"))</x:f>
        <x:v>INCOMPLETE</x:v>
      </x:c>
    </x:row>
    <x:row r="25" ht="31.5" customHeight="1">
      <x:c r="A25" s="185" t="str">
        <x:v>data_review_attestation</x:v>
      </x:c>
      <x:c r="B25" s="185" t="str">
        <x:v>data_review_attestation.json</x:v>
      </x:c>
      <x:c r="C25" s="185"/>
      <x:c r="D25" s="185"/>
      <x:c r="E25" s="185" t="str">
        <x:v>Unknown</x:v>
      </x:c>
      <x:c r="F25" s="185"/>
      <x:c r="G25" s="185"/>
      <x:c r="H25" s="185"/>
      <x:c r="I25" s="185"/>
      <x:c r="J25" s="185"/>
      <x:c r="K25" s="195"/>
      <x:c r="L25" s="195"/>
      <x:c r="M25" s="185"/>
      <x:c r="N25" s="185"/>
      <x:c r="O25" s="185"/>
      <x:c r="P25" s="185" t="str">
        <x:v>Unknown</x:v>
      </x:c>
      <x:c r="Q25" s="188" t="str">
        <x:f>IF(OR(C25="",D25="",E25="",E25="Unknown",F25="",G25="",H25="",J25="",M25="",O25="",P25="",P25="Unknown"),"INCOMPLETE",IF(OR(E25="No",P25="No",G25&lt;=0,LEN(H25)&lt;&gt;64),"BLOCKED","DOCUMENTED"))</x:f>
        <x:v>INCOMPLETE</x:v>
      </x:c>
    </x:row>
  </x:sheetData>
  <x:mergeCells>
    <x:mergeCell ref="A1:Q1"/>
  </x:mergeCells>
  <x:conditionalFormatting sqref="Q3:Q14">
    <x:cfRule type="containsText" dxfId="10" priority="1" operator="containsText" text="DOCUMENTED"/>
    <x:cfRule type="containsText" dxfId="11" priority="2" operator="containsText" text="BLOCKED"/>
    <x:cfRule type="containsText" dxfId="12" priority="3" operator="containsText" text="REVIEW"/>
    <x:cfRule type="containsText" dxfId="13" priority="4" operator="containsText" text="INCOMPLETE"/>
    <x:cfRule type="containsText" dxfId="14" priority="5" operator="containsText" text="FORM_COMPLETE"/>
  </x:conditionalFormatting>
  <x:conditionalFormatting sqref="Q3:Q25">
    <x:cfRule type="containsText" dxfId="43" priority="6" operator="containsText" text="DOCUMENTED"/>
    <x:cfRule type="containsText" dxfId="44" priority="7" operator="containsText" text="REVIEW"/>
    <x:cfRule type="containsText" dxfId="45" priority="8" operator="containsText" text="BLOCKED"/>
  </x:conditionalFormatting>
  <x:dataValidations count="4">
    <x:dataValidation type="list" sqref="E3:E14">
      <x:formula1>"Yes,No,N/A,Unknown"</x:formula1>
    </x:dataValidation>
    <x:dataValidation type="list" sqref="P3:P14">
      <x:formula1>"Yes,No,Unknown"</x:formula1>
    </x:dataValidation>
    <x:dataValidation type="list" sqref="E3:E25">
      <x:formula1>"Unknown,Yes,No"</x:formula1>
    </x:dataValidation>
    <x:dataValidation type="list" sqref="P3:P25">
      <x:formula1>"Unknown,Yes,No"</x:formula1>
    </x:dataValidation>
  </x:dataValidations>
  <x:pageMargins left="0.7" right="0.7" top="0.75" bottom="0.75" header="0.3" footer="0.3"/>
  <x:tableParts count="1">
    <x:tablePart xmlns:r="http://schemas.openxmlformats.org/officeDocument/2006/relationships" r:id="R9016ea11122e414d"/>
  </x:tableParts>
</x:worksheet>
</file>

<file path=xl/worksheets/sheet5.xml><?xml version="1.0" encoding="utf-8"?>
<x:worksheet xmlns:x="http://schemas.openxmlformats.org/spreadsheetml/2006/main">
  <x:sheetViews>
    <x:sheetView showGridLines="0" workbookViewId="0"/>
  </x:sheetViews>
  <x:sheetFormatPr defaultRowHeight="15"/>
  <x:cols>
    <x:col min="1" max="1" width="17" hidden="0" customWidth="1"/>
    <x:col min="2" max="2" width="22" hidden="0" customWidth="1"/>
    <x:col min="3" max="3" width="28" hidden="0" customWidth="1"/>
    <x:col min="4" max="4" width="48" hidden="0" customWidth="1"/>
    <x:col min="5" max="5" width="66" hidden="0" customWidth="1"/>
    <x:col min="6" max="6" width="14" hidden="0" customWidth="1"/>
    <x:col min="7" max="7" width="30" hidden="0" customWidth="1"/>
  </x:cols>
  <x:sheetData>
    <x:row r="1" ht="30" customHeight="1">
      <x:c r="A1" s="4" t="str">
        <x:v>Public Source Evidence — Capability Leads, Not a Licence or Acquisition Receipt</x:v>
      </x:c>
      <x:c r="B1" s="4"/>
      <x:c r="C1" s="4"/>
      <x:c r="D1" s="4"/>
      <x:c r="E1" s="4"/>
      <x:c r="F1" s="4"/>
      <x:c r="G1" s="4"/>
    </x:row>
    <x:row r="2" ht="34" customHeight="1">
      <x:c r="A2" s="27" t="str">
        <x:v>Source ID</x:v>
      </x:c>
      <x:c r="B2" s="28" t="str">
        <x:v>Entity</x:v>
      </x:c>
      <x:c r="C2" s="28" t="str">
        <x:v>Document / Endpoint</x:v>
      </x:c>
      <x:c r="D2" s="28" t="str">
        <x:v>URL</x:v>
      </x:c>
      <x:c r="E2" s="28" t="str">
        <x:v>Relevant Claim</x:v>
      </x:c>
      <x:c r="F2" s="28" t="str">
        <x:v>Reviewed On</x:v>
      </x:c>
      <x:c r="G2" s="29" t="str">
        <x:v>Use in Decision</x:v>
      </x:c>
    </x:row>
    <x:row r="3" ht="40.5" customHeight="1">
      <x:c r="A3" s="45" t="str">
        <x:v>TS-DAILY</x:v>
      </x:c>
      <x:c r="B3" s="45" t="str">
        <x:v>Tushare</x:v>
      </x:c>
      <x:c r="C3" s="45" t="str">
        <x:v>A-share daily</x:v>
      </x:c>
      <x:c r="D3" s="45" t="str">
        <x:v>https://tushare.pro/document/2?doc_id=27</x:v>
      </x:c>
      <x:c r="E3" s="45" t="str">
        <x:v>Unadjusted daily bars; amount is documented in thousand CNY and therefore requires a separately evidenced ×1,000 normalization before canonical hashing; suspended days have no bar, so this endpoint alone cannot satisfy the same-session suspension-valuation contract.</x:v>
      </x:c>
      <x:c r="F3" s="46" t="n">
        <x:v>46267</x:v>
      </x:c>
      <x:c r="G3" s="45" t="str">
        <x:v>Capability lead only</x:v>
      </x:c>
    </x:row>
    <x:row r="4" ht="40.5" customHeight="1">
      <x:c r="A4" s="47" t="str">
        <x:v>TS-ADJ</x:v>
      </x:c>
      <x:c r="B4" s="47" t="str">
        <x:v>Tushare</x:v>
      </x:c>
      <x:c r="C4" s="47" t="str">
        <x:v>Adjustment factor</x:v>
      </x:c>
      <x:c r="D4" s="47" t="str">
        <x:v>https://tushare.pro/document/2?doc_id=146</x:v>
      </x:c>
      <x:c r="E4" s="47" t="str">
        <x:v>Raw close multiplied by adj_factor is the documented hfq construction. The final contract still requires distinct hashes for raw-close definition, cumulative-factor convention and the exact no-rebasing normalization/adapter record; this capability lead is not proof of a production Stage-2 delivery.</x:v>
      </x:c>
      <x:c r="F4" s="48" t="n">
        <x:v>46267</x:v>
      </x:c>
      <x:c r="G4" s="47" t="str">
        <x:v>Capability lead only</x:v>
      </x:c>
    </x:row>
    <x:row r="5" ht="34" customHeight="1">
      <x:c r="A5" s="47" t="str">
        <x:v>TS-CAL</x:v>
      </x:c>
      <x:c r="B5" s="47" t="str">
        <x:v>Tushare</x:v>
      </x:c>
      <x:c r="C5" s="47" t="str">
        <x:v>Calendar candidate</x:v>
      </x:c>
      <x:c r="D5" s="47" t="str">
        <x:v>https://tushare.pro/document/2?doc_id=26</x:v>
      </x:c>
      <x:c r="E5" s="47" t="str">
        <x:v>Supports SSE and SZSE parameters, but the page does not establish authoritative exchange provenance or upstream publication rights.</x:v>
      </x:c>
      <x:c r="F5" s="48" t="n">
        <x:v>46267</x:v>
      </x:c>
      <x:c r="G5" s="47" t="str">
        <x:v>Cross-check; official provenance still required</x:v>
      </x:c>
    </x:row>
    <x:row r="6" ht="34" customHeight="1">
      <x:c r="A6" s="47" t="str">
        <x:v>TS-MASTER</x:v>
      </x:c>
      <x:c r="B6" s="47" t="str">
        <x:v>Tushare</x:v>
      </x:c>
      <x:c r="C6" s="47" t="str">
        <x:v>Stock basic</x:v>
      </x:c>
      <x:c r="D6" s="47" t="str">
        <x:v>https://tushare.pro/document/2?doc_id=25</x:v>
      </x:c>
      <x:c r="E6" s="47" t="str">
        <x:v>Lists status plus listing and delisting dates; current-only calls are insufficient for point-in-time membership.</x:v>
      </x:c>
      <x:c r="F6" s="48" t="n">
        <x:v>46267</x:v>
      </x:c>
      <x:c r="G6" s="47" t="str">
        <x:v>Capability lead only</x:v>
      </x:c>
    </x:row>
    <x:row r="7" ht="34" customHeight="1">
      <x:c r="A7" s="47" t="str">
        <x:v>TS-BAK</x:v>
      </x:c>
      <x:c r="B7" s="47" t="str">
        <x:v>Tushare</x:v>
      </x:c>
      <x:c r="C7" s="47" t="str">
        <x:v>Backup stock list</x:v>
      </x:c>
      <x:c r="D7" s="47" t="str">
        <x:v>https://tushare.pro/document/1?doc_id=262</x:v>
      </x:c>
      <x:c r="E7" s="47" t="str">
        <x:v>Documentation states coverage begins in 2016; it cannot reconstruct 2009-2015 membership by itself.</x:v>
      </x:c>
      <x:c r="F7" s="48" t="n">
        <x:v>46267</x:v>
      </x:c>
      <x:c r="G7" s="47" t="str">
        <x:v>Insufficient alone</x:v>
      </x:c>
    </x:row>
    <x:row r="8" ht="34" customHeight="1">
      <x:c r="A8" s="47" t="str">
        <x:v>TS-ST</x:v>
      </x:c>
      <x:c r="B8" s="47" t="str">
        <x:v>Tushare</x:v>
      </x:c>
      <x:c r="C8" s="47" t="str">
        <x:v>Historical ST list</x:v>
      </x:c>
      <x:c r="D8" s="47" t="str">
        <x:v>https://tushare.pro/document/2?doc_id=397</x:v>
      </x:c>
      <x:c r="E8" s="47" t="str">
        <x:v>Current page states daily ST history begins 2000-01-01.</x:v>
      </x:c>
      <x:c r="F8" s="48" t="n">
        <x:v>46267</x:v>
      </x:c>
      <x:c r="G8" s="47" t="str">
        <x:v>Capability lead only</x:v>
      </x:c>
    </x:row>
    <x:row r="9" ht="34" customHeight="1">
      <x:c r="A9" s="47" t="str">
        <x:v>TS-SUSP</x:v>
      </x:c>
      <x:c r="B9" s="47" t="str">
        <x:v>Tushare</x:v>
      </x:c>
      <x:c r="C9" s="47" t="str">
        <x:v>Daily suspension</x:v>
      </x:c>
      <x:c r="D9" s="47" t="str">
        <x:v>https://tushare.pro/document/2?doc_id=214</x:v>
      </x:c>
      <x:c r="E9" s="47" t="str">
        <x:v>Suspension/return records are documented, but full 2009-2023 coverage is not promised; absence-to-false semantics require a verified complete-universe join.</x:v>
      </x:c>
      <x:c r="F9" s="48" t="n">
        <x:v>46267</x:v>
      </x:c>
      <x:c r="G9" s="47" t="str">
        <x:v>Coverage verification required</x:v>
      </x:c>
    </x:row>
    <x:row r="10" ht="34" customHeight="1">
      <x:c r="A10" s="47" t="str">
        <x:v>TS-DISC</x:v>
      </x:c>
      <x:c r="B10" s="47" t="str">
        <x:v>Tushare</x:v>
      </x:c>
      <x:c r="C10" s="47" t="str">
        <x:v>Disclosure date</x:v>
      </x:c>
      <x:c r="D10" s="47" t="str">
        <x:v>https://tushare.pro/document/2?doc_id=162</x:v>
      </x:c>
      <x:c r="E10" s="47" t="str">
        <x:v>disclosure_date.actual_date is separate from that endpoint's pre_date and ann_date; first-publication/current-record semantics still require confirmation.</x:v>
      </x:c>
      <x:c r="F10" s="48" t="n">
        <x:v>46267</x:v>
      </x:c>
      <x:c r="G10" s="47" t="str">
        <x:v>Semantic review required</x:v>
      </x:c>
    </x:row>
    <x:row r="11" ht="34" customHeight="1">
      <x:c r="A11" s="47" t="str">
        <x:v>TS-ROE</x:v>
      </x:c>
      <x:c r="B11" s="47" t="str">
        <x:v>Tushare</x:v>
      </x:c>
      <x:c r="C11" s="47" t="str">
        <x:v>Financial indicators</x:v>
      </x:c>
      <x:c r="D11" s="47" t="str">
        <x:v>https://tushare.pro/document/2?doc_id=79</x:v>
      </x:c>
      <x:c r="E11" s="47" t="str">
        <x:v>Includes ROE variants and report/announcement dates; provider definition must be matched to roeDiluted.</x:v>
      </x:c>
      <x:c r="F11" s="48" t="n">
        <x:v>46267</x:v>
      </x:c>
      <x:c r="G11" s="47" t="str">
        <x:v>Semantic review required</x:v>
      </x:c>
    </x:row>
    <x:row r="12" ht="34" customHeight="1">
      <x:c r="A12" s="47" t="str">
        <x:v>TS-TERMS</x:v>
      </x:c>
      <x:c r="B12" s="47" t="str">
        <x:v>Tushare</x:v>
      </x:c>
      <x:c r="C12" s="47" t="str">
        <x:v>Data service agreement</x:v>
      </x:c>
      <x:c r="D12" s="47" t="str">
        <x:v>https://tushare.pro/document/1?doc_id=405</x:v>
      </x:c>
      <x:c r="E12" s="47" t="str">
        <x:v>Default licence is personal, non-transferable, non-commercial, revocable and for personal viewing; written publication/reviewer permission is still required.</x:v>
      </x:c>
      <x:c r="F12" s="48" t="n">
        <x:v>46267</x:v>
      </x:c>
      <x:c r="G12" s="47" t="str">
        <x:v>Rights blocker without written addendum</x:v>
      </x:c>
    </x:row>
    <x:row r="13" ht="34" customHeight="1">
      <x:c r="A13" s="47" t="str">
        <x:v>SZSE-LEGAL</x:v>
      </x:c>
      <x:c r="B13" s="47" t="str">
        <x:v>Shenzhen Stock Exchange</x:v>
      </x:c>
      <x:c r="C13" s="47" t="str">
        <x:v>Website legal statement</x:v>
      </x:c>
      <x:c r="D13" s="47" t="str">
        <x:v>https://www.szse.cn/application/laws/</x:v>
      </x:c>
      <x:c r="E13" s="47" t="str">
        <x:v>Non-commercial browsing/download is described, but exact research publication, hashing and controlled-review uses should be confirmed in writing.</x:v>
      </x:c>
      <x:c r="F13" s="48" t="n">
        <x:v>46267</x:v>
      </x:c>
      <x:c r="G13" s="47" t="str">
        <x:v>Rights clarification required</x:v>
      </x:c>
    </x:row>
    <x:row r="14" ht="34" customHeight="1">
      <x:c r="A14" s="47" t="str">
        <x:v>SSE-CALENDAR</x:v>
      </x:c>
      <x:c r="B14" s="47" t="str">
        <x:v>Shanghai Stock Exchange</x:v>
      </x:c>
      <x:c r="C14" s="47" t="str">
        <x:v>Trading schedule</x:v>
      </x:c>
      <x:c r="D14" s="47" t="str">
        <x:v>https://english.sse.com.cn/start/trading/schedule/</x:v>
      </x:c>
      <x:c r="E14" s="47" t="str">
        <x:v>Official schedule cross-check; retain exact evidence and provenance.</x:v>
      </x:c>
      <x:c r="F14" s="48" t="n">
        <x:v>46267</x:v>
      </x:c>
      <x:c r="G14" s="47" t="str">
        <x:v>Official calendar evidence</x:v>
      </x:c>
    </x:row>
    <x:row r="15" ht="34" customHeight="1">
      <x:c r="A15" s="49" t="str">
        <x:v>CNINFO</x:v>
      </x:c>
      <x:c r="B15" s="49" t="str">
        <x:v>CNINFO</x:v>
      </x:c>
      <x:c r="C15" s="49" t="str">
        <x:v>Issuer disclosure portal</x:v>
      </x:c>
      <x:c r="D15" s="49" t="str">
        <x:v>https://www.cninfo.com.cn/</x:v>
      </x:c>
      <x:c r="E15" s="49" t="str">
        <x:v>Potential filing-date/document cross-check; bulk-use and publication rights are not inferred from public availability.</x:v>
      </x:c>
      <x:c r="F15" s="50" t="n">
        <x:v>46267</x:v>
      </x:c>
      <x:c r="G15" s="49" t="str">
        <x:v>Cross-check only unless rights confirmed</x:v>
      </x:c>
    </x:row>
  </x:sheetData>
  <x:mergeCells>
    <x:mergeCell ref="A1:G1"/>
  </x:mergeCells>
  <x:pageMargins left="0.7" right="0.7" top="0.75" bottom="0.75" header="0.3" footer="0.3"/>
  <x:tableParts count="1">
    <x:tablePart xmlns:r="http://schemas.openxmlformats.org/officeDocument/2006/relationships" r:id="R45bf9187af5b4d9c"/>
  </x:tableParts>
</x:worksheet>
</file>

<file path=xl/worksheets/sheet6.xml><?xml version="1.0" encoding="utf-8"?>
<x:worksheet xmlns:x="http://schemas.openxmlformats.org/spreadsheetml/2006/main">
  <x:sheetViews>
    <x:sheetView showGridLines="0" workbookViewId="0"/>
  </x:sheetViews>
  <x:sheetFormatPr defaultRowHeight="15"/>
  <x:cols>
    <x:col min="1" max="1" width="23" hidden="0" customWidth="1"/>
    <x:col min="2" max="2" width="95" hidden="0" customWidth="1"/>
  </x:cols>
  <x:sheetData>
    <x:row r="1" ht="30" customHeight="1">
      <x:c r="A1" s="4" t="str">
        <x:v>Stage-2 A-Share Data Procurement &amp; Rights Workbook</x:v>
      </x:c>
      <x:c r="B1" s="4"/>
      <x:c r="C1" s="4"/>
      <x:c r="D1" s="4"/>
      <x:c r="E1" s="4"/>
      <x:c r="F1" s="4"/>
      <x:c r="G1" s="4"/>
      <x:c r="H1" s="4"/>
    </x:row>
    <x:row r="3" ht="37.5" hidden="0" customHeight="1">
      <x:c r="A3" s="10" t="str">
        <x:v>Workbook status</x:v>
      </x:c>
      <x:c r="B3" s="202" t="str">
        <x:v>Blank provider-response template; it is not evidence of acquisition, registration, or execution authorization.</x:v>
      </x:c>
      <x:c r="C3" s="203"/>
      <x:c r="D3" s="203"/>
      <x:c r="E3" s="203"/>
      <x:c r="F3" s="203"/>
      <x:c r="G3" s="203"/>
      <x:c r="H3" s="203"/>
    </x:row>
    <x:row r="4" ht="61.5" hidden="0" customHeight="1">
      <x:c r="A4" s="12" t="str">
        <x:v>Purpose</x:v>
      </x:c>
      <x:c r="B4" s="204" t="str">
        <x:v>Collect exact provider field mappings, fixed quote-adjustment/amount/identifier contracts, historical coverage, written rights, contract validity and private-delivery evidence. Automated checks may parse schema, finiteness, dates, identifiers, exact endpoints and aggregate coverage, but may not compute or expose factor returns, ranks, ICs, portfolios, test statistics or variant orderings.</x:v>
      </x:c>
      <x:c r="C4" s="203"/>
      <x:c r="D4" s="203"/>
      <x:c r="E4" s="203"/>
      <x:c r="F4" s="203"/>
      <x:c r="G4" s="203"/>
      <x:c r="H4" s="203"/>
    </x:row>
    <x:row r="5" ht="36" hidden="0" customHeight="1">
      <x:c r="A5" s="12" t="str">
        <x:v>Study interval</x:v>
      </x:c>
      <x:c r="B5" s="204" t="str">
        <x:v>2009 warm-up; 2010-01 through 2022-12 study panel; quotes/calendar through 2023-01 for forward endpoints.</x:v>
      </x:c>
      <x:c r="C5" s="203"/>
      <x:c r="D5" s="203"/>
      <x:c r="E5" s="203"/>
      <x:c r="F5" s="203"/>
      <x:c r="G5" s="203"/>
      <x:c r="H5" s="203"/>
    </x:row>
    <x:row r="6" ht="70.5" hidden="0" customHeight="1">
      <x:c r="A6" s="12" t="str">
        <x:v>Required sequence</x:v>
      </x:c>
      <x:c r="B6" s="204" t="str">
        <x:v>Written capability/rights confirmation → private delivery → metadata diagnostic → bound human data/rights review and authoritative coverage report → design freeze → external registration → independent registration-receipt verification → execution authorization → one Stage-2 run. Any separate delivery-acceptance receipt is an optional custody record, not a formal gate.</x:v>
      </x:c>
      <x:c r="C6" s="203"/>
      <x:c r="D6" s="203"/>
      <x:c r="E6" s="203"/>
      <x:c r="F6" s="203"/>
      <x:c r="G6" s="203"/>
      <x:c r="H6" s="203"/>
    </x:row>
    <x:row r="7" ht="70.5" hidden="0" customHeight="1">
      <x:c r="A7" s="12" t="str">
        <x:v>Who completes</x:v>
      </x:c>
      <x:c r="B7" s="204" t="str">
        <x:v>A provider/licensor may grant new rights. A licensed institution administrator may only confirm rights already present in the controlling contract unless expressly authorized to amend it. Conditional restrictions require unique IDs, exact canonical permission fields and separately hash-bound satisfied-condition reviews. The data custodian completes Private Delivery; the authorized reviewer resolves per-dataset rights.</x:v>
      </x:c>
      <x:c r="C7" s="203"/>
      <x:c r="D7" s="203"/>
      <x:c r="E7" s="203"/>
      <x:c r="F7" s="203"/>
      <x:c r="G7" s="203"/>
      <x:c r="H7" s="203"/>
    </x:row>
    <x:row r="8" ht="49.5" hidden="0" customHeight="1">
      <x:c r="A8" s="12" t="str">
        <x:v>Do not enter</x:v>
      </x:c>
      <x:c r="B8" s="204" t="str">
        <x:v>Source-identity publication and exact field-mapping citation must both be Yes for every dataset because provider-supplied strings enter the fixed public Stage-2 declaration projection.</x:v>
      </x:c>
      <x:c r="C8" s="203"/>
      <x:c r="D8" s="203"/>
      <x:c r="E8" s="203"/>
      <x:c r="F8" s="203"/>
      <x:c r="G8" s="203"/>
      <x:c r="H8" s="203"/>
    </x:row>
    <x:row r="9" ht="52.5" hidden="0" customHeight="1">
      <x:c r="A9" s="12" t="str">
        <x:v>Public repository</x:v>
      </x:c>
      <x:c r="B9" s="204" t="str">
        <x:v>Only this blank template and permitted aggregate receipts may be public. Completed commercial terms, identities without publication consent, condition evidence, delivery manifests, human attestations and provider-delivery receipts remain private.</x:v>
      </x:c>
      <x:c r="C9" s="203"/>
      <x:c r="D9" s="203"/>
      <x:c r="E9" s="203"/>
      <x:c r="F9" s="203"/>
      <x:c r="G9" s="203"/>
      <x:c r="H9" s="203"/>
    </x:row>
    <x:row r="10" ht="52.5" hidden="0" customHeight="1">
      <x:c r="A10" s="12" t="str">
        <x:v>Template handling</x:v>
      </x:c>
      <x:c r="B10" s="204" t="str">
        <x:v>Before entering any response, Save As a renamed provider_capability_and_field_mapping.completed.xlsx copy outside every Git worktree. Never overwrite this tracked blank template.</x:v>
      </x:c>
      <x:c r="C10" s="203"/>
      <x:c r="D10" s="203"/>
      <x:c r="E10" s="203"/>
      <x:c r="F10" s="203"/>
      <x:c r="G10" s="203"/>
      <x:c r="H10" s="203"/>
    </x:row>
    <x:row r="11" ht="94.5" hidden="0" customHeight="1">
      <x:c r="A11" s="12" t="str">
        <x:v>Decision rule</x:v>
      </x:c>
      <x:c r="B11" s="204" t="str">
        <x:v>Any required No, missing evidence, invalid hash/timestamp, or unsatisfied Conditional item leaves the study BLOCKED. Source-identity-publication or field-mapping-citation No blocks Stage 2 under the current public-receipt design.</x:v>
      </x:c>
      <x:c r="C11" s="203"/>
      <x:c r="D11" s="203"/>
      <x:c r="E11" s="203"/>
      <x:c r="F11" s="203"/>
      <x:c r="G11" s="203"/>
      <x:c r="H11" s="203"/>
    </x:row>
    <x:row r="12" ht="49.5" hidden="0" customHeight="1">
      <x:c r="A12" s="14" t="str">
        <x:v>24-cell probe boundary</x:v>
      </x:c>
      <x:c r="B12" s="205" t="str">
        <x:v>The separately frozen AKShare/QData 12-symbol × 2-date raw-bar probe does not validate a purchased vendor delivery and must not be represented as doing so.</x:v>
      </x:c>
      <x:c r="C12" s="203"/>
      <x:c r="D12" s="203"/>
      <x:c r="E12" s="203"/>
      <x:c r="F12" s="203"/>
      <x:c r="G12" s="203"/>
      <x:c r="H12" s="203"/>
    </x:row>
  </x:sheetData>
  <x:mergeCells>
    <x:mergeCell ref="A1:H1"/>
  </x:mergeCells>
  <x:pageMargins left="0.7" right="0.7" top="0.75" bottom="0.75" header="0.3" footer="0.3"/>
</x:worksheet>
</file>